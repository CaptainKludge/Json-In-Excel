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bradl\Desktop\Sandbox2\CALCULATOR\"/>
    </mc:Choice>
  </mc:AlternateContent>
  <xr:revisionPtr revIDLastSave="0" documentId="13_ncr:1_{191591A9-77C8-40FB-A528-71AB99189277}" xr6:coauthVersionLast="47" xr6:coauthVersionMax="47" xr10:uidLastSave="{00000000-0000-0000-0000-000000000000}"/>
  <bookViews>
    <workbookView xWindow="-120" yWindow="-120" windowWidth="20760" windowHeight="13200" xr2:uid="{131EE999-7B37-4FA6-8C34-A495F0D28A79}"/>
  </bookViews>
  <sheets>
    <sheet name="Sheet1" sheetId="1" r:id="rId1"/>
  </sheets>
  <definedNames>
    <definedName name="arrayRepAdd">_xlfn.LAMBDA(_xlpm.arr,_xlpm.key,_xlpm.val,   _xlfn.LET(     _xlpm.safeArr, IF(ROWS(_xlpm.arr)=0, _xlfn.HSTACK("", ""), _xlpm.arr),     _xlpm.kcol, INDEX(_xlpm.safeArr,,1),     _xlpm.vcol, INDEX(_xlpm.safeArr,,2),     _xlpm.newarr, safeFilter(_xlpm.safeArr, _xlpm.kcol&lt;&gt;_xlpm.key),     _xlpm.cleanArr, IF(ROWS(_xlpm.newarr)=0, _xlfn.HSTACK("", ""), _xlpm.newarr),     _xlfn.VSTACK(_xlpm.cleanArr, _xlfn.HSTACK(_xlpm.key, jsonQuote(_xlpm.val)))   ) )</definedName>
    <definedName name="between">_xlfn.LAMBDA(_xlpm.numberinpreclean,_xlpm.rangein, _xlfn.LET(     _xlpm.parseset, _xlfn.LAMBDA(_xlpm.singleset,           _xlfn.LET(             _xlpm.raw, TRIM(IF(_xlpm.singleset="","(0,0)",_xlpm.singleset)),             _xlpm.numberin,VALUE(TRIM(_xlpm.numberinpreclean)),             _xlpm.safe, SUBSTITUTE(_xlfn.REGEXREPLACE(_xlpm.raw, "([(\[].*?),(.*?[\])])", "$1|$2")," ",""),             _xlpm.intervals, _xlfn.TEXTSPLIT(_xlpm.safe, ","),             _xlpm.parseInterval, _xlfn.LAMBDA(_xlpm.tok,                    _xlfn.LET(                      _xlpm.t, TRIM(SUBSTITUTE(_xlpm.tok,"|",",")),                       _xlpm.hasBraces, OR(LEFT(_xlpm.t,1)="(", LEFT(_xlpm.t,1)="["),                        _xlpm.dashParts, IF(_xlpm.hasBraces, "", _xlfn.TEXTSPLIT(_xlpm.t,"-")),                       _xlpm.leftB, IF(_xlpm.hasBraces, LEFT(_xlpm.t,1), "["),                      _xlpm.rightB, IF(_xlpm.hasBraces, RIGHT(_xlpm.t,1), "]"),                      _xlpm.body, IF(_xlpm.hasBraces, MID(_xlpm.t,2,LEN(_xlpm.t)-2), _xlpm.t),                       _xlpm.nums, IF(                        _xlpm.hasBraces,                        _xlfn.REGEXEXTRACT(_xlpm.body,"([-0-9]+(?:\.[-0-9]+)?)?,([-0-9]+(?:\.[-0-9]+)?)?",2),                        ""                      ),                       _xlpm.minRaw, IF(_xlpm.hasBraces, IFERROR(INDEX(_xlpm.nums,1),-1E+99), IF(COUNTA(_xlpm.dashParts)&gt;=1,TRIM(INDEX(_xlpm.dashParts,1)),"")),                      _xlpm.maxRaw, IF(_xlpm.hasBraces, IFERROR(INDEX(_xlpm.nums,2),1E+99), IF(COUNTA(_xlpm.dashParts)=2,TRIM(INDEX(_xlpm.dashParts,2)),"")),                       _xlpm.min, IF(OR(_xlpm.minRaw="",_xlpm.minRaw="-∞"), -1E+99, VALUE(_xlpm.minRaw)),                      _xlpm.max, IF(OR(_xlpm.maxRaw="",_xlpm.maxRaw="∞",_xlpm.maxRaw="+∞"), 1E+99, VALUE(_xlpm.maxRaw)),                       _xlpm.lowerOK, IF(_xlpm.leftB="(", _xlpm.numberin&gt;_xlpm.min, _xlpm.numberin&gt;=_xlpm.min),                      _xlpm.upperOK, IF(_xlpm.rightB=")", _xlpm.numberin&lt;_xlpm.max, _xlpm.numberin&lt;=_xlpm.max),                       AND(_xlpm.lowerOK,_xlpm.upperOK)                    )                   ),                   _xlpm.result,OR(_xlfn.MAP(_xlpm.intervals, _xlpm.parseInterval)),                   _xlpm.result             )         ),     IF(_xlfn.ISOMITTED(_xlpm.rangein),FALSE,_xlfn.MAP(_xlpm.rangein,_xlpm.parseset))) )</definedName>
    <definedName name="GREEDYPARTFILL">_xlfn.LAMBDA(_xlpm.targetLength,_xlpm.partArray,_xlop.pad,_xlop.extraHungry,   _xlfn.LET(     _xlpm.padVal, IF(_xlfn.ISOMITTED(_xlpm.pad), 0, _xlpm.pad),     _xlpm.isExtraHungry, IF(_xlfn.ISOMITTED(_xlpm.extraHungry), FALSE, _xlpm.extraHungry),      _xlpm.totalLength, _xlpm.targetLength + _xlpm.padVal,     _xlpm.partNames, INDEX(_xlpm.partArray,,1),     _xlpm.partLengths, INDEX(_xlpm.partArray,,2),     _xlpm.numParts, ROWS(_xlpm.partArray),      _xlpm.fillLoop, _xlfn.LAMBDA(_xlpm.index,_xlpm.state,       _xlfn.LET(         _xlpm.remaining, INDEX(_xlpm.state,1),         _xlpm.used, INDEX(_xlpm.state,2),         _xlpm.name, INDEX(_xlpm.partNames, _xlpm.index),         _xlpm.length, INDEX(_xlpm.partLengths, _xlpm.index),         _xlpm.count, IF(_xlpm.length &gt; 0, INT(_xlpm.remaining / _xlpm.length), 0),         _xlpm.newRemain, IF(_xlpm.length &gt; 0, _xlpm.remaining - _xlpm.count * _xlpm.length, _xlpm.remaining),         _xlpm.newUsed, IF(_xlpm.count &gt; 0,           _xlfn.HSTACK(_xlpm.used, _xlfn.HSTACK(_xlpm.name, _xlpm.count)),           _xlpm.used         ),         _xlfn.VSTACK(_xlpm.newRemain, _xlpm.newUsed)       )     ),      _xlpm.reduceResult, _xlfn.REDUCE(       _xlfn.VSTACK(_xlpm.totalLength, ""),       _xlfn.SEQUENCE(_xlpm.numParts),       _xlpm.fillLoop     ),      _xlpm.leftover, INDEX(_xlpm.reduceResult, 1),     _xlpm.usedRaw, INDEX(_xlpm.reduceResult, 2),      _xlpm.lastName, INDEX(_xlpm.partNames, _xlpm.numParts),     _xlpm.lastLength, INDEX(_xlpm.partLengths, _xlpm.numParts),      _xlpm.adjustedUsed, IF(       _xlpm.isExtraHungry * (_xlpm.leftover &gt; 0) * (_xlpm.lastLength &gt; _xlpm.leftover),       _xlfn.LET(         _xlpm.matchIndex, _xlfn.XMATCH(_xlpm.lastName, INDEX(_xlpm.usedRaw,,1), 0),         _xlpm.oldCount, IF(ISNUMBER(_xlpm.matchIndex), INDEX(_xlpm.usedRaw,,2, _xlpm.matchIndex), 0),         _xlpm.newCount, _xlpm.oldCount + 1,         _xlpm.namesFiltered, IFERROR(_xlfn._xlws.FILTER(INDEX(_xlpm.usedRaw,,1), INDEX(_xlpm.usedRaw,,1)&lt;&gt;_xlpm.lastName), ""),         _xlpm.countsFiltered, IFERROR(_xlfn._xlws.FILTER(INDEX(_xlpm.usedRaw,,2), INDEX(_xlpm.usedRaw,,1)&lt;&gt;_xlpm.lastName), ""),         _xlpm.finalNames, IF(_xlpm.namesFiltered="", _xlpm.lastName, _xlfn.VSTACK(_xlpm.namesFiltered, _xlpm.lastName)),         _xlpm.finalCounts, IF(_xlpm.countsFiltered="", _xlpm.newCount, _xlfn.VSTACK(_xlpm.countsFiltered, _xlpm.newCount)),         _xlfn.HSTACK(_xlpm.finalNames, _xlpm.finalCounts)       ),       _xlpm.usedRaw     ),      _xlpm.resultText, _xlfn.TEXTJOIN(",", TRUE,       _xlfn.MAP(         INDEX(_xlpm.adjustedUsed,,1), INDEX(_xlpm.adjustedUsed,,2),         _xlfn.LAMBDA(_xlpm.n,_xlpm.c, _xlfn.TEXTJOIN(",", TRUE, _xlfn.SEQUENCE(_xlpm.c,,_xlpm.n)))       )     ),      _xlpm.resultText   ) )</definedName>
    <definedName name="jsonGet">_xlfn.LAMBDA(_xlpm.json,_xlpm.path,   _xlfn.LET(     _xlpm.keys, _xlfn.TEXTSPLIT(_xlpm.path,"."),     _xlfn.REDUCE(       _xlpm.json,       _xlpm.keys,       _xlfn.LAMBDA(_xlpm.j,_xlpm.k,         _xlfn.LET(           _xlpm.pairs, jsonGetKeysAtLevel(_xlpm.j),           _xlpm.vals, IFERROR(_xlfn._xlws.FILTER(_xlpm.pairs, INDEX(_xlpm.pairs,,1)=_xlpm.k), ""),           IF(OR(_xlpm.vals="", ROWS(_xlpm.vals)=0), NA(), _xlfn.TEXTJOIN(",",TRUE,INDEX(_xlpm.vals,,2)))         )       )     )   ) )</definedName>
    <definedName name="jsonGetKeysAtLevel">_xlfn.LAMBDA(_xlpm.json,   _xlfn.LET(     _xlpm.content, IF(LEFT(_xlpm.json,1)="{", MID(_xlpm.json,2,LEN(_xlpm.json)-2), _xlpm.json),     _xlpm.chars, MID(_xlpm.content, _xlfn.SEQUENCE(LEN(_xlpm.content)), 1),      _xlpm.initialState, _xlfn.VSTACK("", 0, 0, FALSE, "-0-0-FALSE",""),      _xlpm.processed,       _xlfn.REDUCE(         _xlpm.initialState,         _xlpm.chars,         _xlfn.LAMBDA(_xlpm.state,_xlpm.ch,           _xlfn.LET(             _xlpm.token, INDEX(_xlpm.state,1),             _xlpm.curl, INDEX(_xlpm.state,2),             _xlpm.square, INDEX(_xlpm.state,3),             _xlpm.quotes, INDEX(_xlpm.state,4),             _xlpm.info, INDEX(_xlpm.state,5),             _xlpm.tail, IF(ROWS(_xlpm.state)&gt;5, _xlfn.DROP(_xlpm.state,5), ""),              _xlpm.isQuote, _xlpm.ch=CHAR(34),             _xlpm.newQuotes, IF(_xlpm.isQuote, NOT(_xlpm.quotes), _xlpm.quotes),              _xlpm.newCurl, IF(_xlpm.quotes, _xlpm.curl, IF(_xlpm.ch="{", _xlpm.curl+1, IF(_xlpm.ch="}", _xlpm.curl-1, _xlpm.curl))),             _xlpm.newSquare, IF(_xlpm.quotes, _xlpm.square, IF(_xlpm.ch="[", _xlpm.square+1, IF(_xlpm.ch="]", _xlpm.square-1, _xlpm.square))),             _xlpm.level, _xlpm.newCurl+_xlpm.newSquare,              _xlpm.isSplit, AND(_xlpm.ch=",", _xlpm.level=0, NOT(_xlpm.newQuotes)),             _xlpm.newToken, IF(_xlpm.isSplit, "", _xlpm.token&amp;_xlpm.ch),             _xlpm.newTail, IF(_xlpm.isSplit, _xlfn.VSTACK(_xlpm.tail, _xlpm.token), _xlpm.tail),              _xlpm.newInfo, _xlfn.TEXTJOIN("-",TRUE,_xlpm.info,";",_xlpm.isSplit,_xlpm.newToken,_xlpm.newCurl,_xlpm.newSquare,_xlpm.newQuotes),              _xlfn.VSTACK(_xlpm.newToken,_xlpm.newCurl,_xlpm.newSquare,_xlpm.newQuotes,_xlpm.newInfo,_xlpm.newTail)           )         )       ),      _xlpm.rawPairs, IF(ROWS(_xlpm.processed)&gt;5, _xlfn.DROP(_xlpm.processed,5), ""),      _xlpm.lastToken, INDEX(_xlpm.processed,1),     _xlpm.combined, IF(_xlpm.lastToken&lt;&gt;"", _xlfn.VSTACK(_xlpm.rawPairs,_xlpm.lastToken), _xlpm.rawPairs),      _xlpm.allPairs, IFERROR(_xlfn._xlws.FILTER(_xlpm.combined, _xlpm.combined&lt;&gt;""), ""),      _xlpm.keypairs,       _xlfn.REDUCE(         {"",""},         _xlpm.allPairs,         _xlfn.LAMBDA(_xlpm.acc,_xlpm.pair,           _xlfn.LET(             _xlpm.hasColon, ISNUMBER(SEARCH(":",_xlpm.pair)),             _xlpm.sep, IF(_xlpm.hasColon, _xlfn.TEXTAFTER(_xlpm.pair,":"), ""),             _xlpm.key, IF(_xlpm.hasColon, _xlfn.TEXTBEFORE(_xlpm.pair,":"), _xlpm.pair),             _xlpm.cleanKey, TRIM(SUBSTITUTE(_xlpm.key, """","")),             _xlpm.cleanVal, TRIM(_xlpm.sep),             _xlfn.VSTACK(_xlpm.acc,_xlfn.HSTACK(_xlpm.cleanKey,_xlpm.cleanVal))           )         )       ),      IF(ROWS(_xlpm.keypairs)&gt;1, _xlfn.DROP(_xlpm.keypairs,1), _xlpm.keypairs)   ) )</definedName>
    <definedName name="jsonJoin">_xlfn.LAMBDA(_xlpm.JSON1,_xlpm.JSONNEW,_xlpm.MODE,_xlfn.LET(_xlpm.solver,_xlfn.LAMBDA(_xlpm.JSON2,_xlfn.LET(_xlpm.WALK,_xlfn.LAMBDA(_xlpm.JSONE,_xlpm.JSTWO,_xlpm.SUBMODE,_xlpm.DEPTH,_xlpm.SELF,IF(_xlpm.DEPTH&gt;10,"#STOP:recursiontoodeep",_xlfn.LET(_xlpm.JsonSet1,jsonGetKeysAtLevel(_xlpm.JSONE),_xlpm.JsonSet2,jsonGetKeysAtLevel(_xlpm.JSTWO),_xlpm.ReduceSET,_xlfn.MAP(INDEX(_xlpm.JsonSet2,,1),INDEX(_xlpm.JsonSet2,,2),_xlfn.LAMBDA(_xlpm.ARRAYONE,_xlpm.ARRAYTWO,jsonObject(_xlfn.HSTACK(_xlpm.ARRAYONE,_xlpm.ARRAYTWO)))),_xlpm.RESULT,_xlfn.REDUCE(_xlpm.JsonSet1,_xlpm.ReduceSET,_xlfn.LAMBDA(_xlpm.returnset,_xlpm.testsetobj,_xlfn.LET(_xlpm.objkeyset,jsonGetKeysAtLevel(_xlpm.testsetobj),_xlpm.key,INDEX(_xlpm.objkeyset,1,1),_xlpm.value,INDEX(_xlpm.objkeyset,1,2),_xlpm.keys,INDEX(_xlpm.returnset,,1),_xlpm.values,INDEX(_xlpm.returnset,,2),_xlpm.keypresent,SUM(--(_xlpm.keys=_xlpm.key))&gt;0,_xlpm.oldvalue,IF(_xlpm.keypresent,INDEX(_xlfn._xlws.FILTER(_xlpm.returnset,INDEX(_xlpm.returnset,,1)=_xlpm.key),1,2),NA()),_xlpm.test1,IF(ISNA(_xlpm.oldvalue),"NA",LEFT(TRIM(_xlpm.oldvalue),1)),_xlpm.test2,IF(ISNA(_xlpm.value),"NA",LEFT(TRIM(_xlpm.value),1)),_xlpm.isObjectPair,IFERROR(AND(_xlpm.test1="{",_xlpm.test2="{"),FALSE),_xlpm.isListPair,IFERROR(AND(_xlpm.test1="[",_xlpm.test2="["),FALSE),_xlpm.normmode,_xlpm.SUBMODE=0,_xlpm.repMode,_xlpm.SUBMODE=1,_xlpm.addMode,_xlpm.SUBMODE=2,_xlfn.SWITCH(TRUE,AND(_xlpm.keypresent,NOT(_xlpm.repMode),_xlpm.isObjectPair),arrayRepAdd(_xlpm.returnset,_xlpm.key,_xlpm.SELF(_xlpm.oldvalue,_xlpm.value,_xlpm.SUBMODE,_xlpm.DEPTH+1,_xlpm.SELF)),AND(_xlpm.keypresent,NOT(_xlpm.repMode),_xlpm.isListPair),arrayRepAdd(_xlpm.returnset,_xlpm.key,listToJson(_xlfn.VSTACK(listFromJson(_xlpm.oldvalue),listFromJson(_xlpm.value)))),AND(_xlpm.addMode,_xlfn.XOR(_xlpm.test1="[",_xlpm.test2="[")),IF(_xlpm.test1="[",arrayRepAdd(_xlpm.returnset,_xlpm.key,listToJson(_xlfn.VSTACK(listFromJson(_xlpm.oldvalue),_xlpm.value))),arrayRepAdd(_xlpm.returnset,_xlpm.key,listToJson(_xlfn.VSTACK(_xlpm.oldvalue,listFromJson(_xlpm.value))))),AND(_xlpm.keypresent,_xlpm.addMode),arrayRepAdd(_xlpm.returnset,_xlpm.key,IF(AND(NOT(ISERROR(VALUE(_xlpm.oldvalue))),NOT(ISERROR(VALUE(_xlpm.value)))),VALUE(_xlpm.oldvalue)+VALUE(_xlpm.value),_xlpm.oldvalue&amp;_xlpm.value)),arrayRepAdd(_xlpm.returnset,_xlpm.key,_xlpm.value))))),jsonObject(_xlpm.RESULT)))),_xlpm.WALK(_xlpm.JSON1,_xlpm.JSON2,_xlpm.MODE,0,_xlpm.WALK))),_xlfn.MAP(_xlpm.JSONNEW,_xlpm.solver)))</definedName>
    <definedName name="jsonObject">_xlfn.LAMBDA(_xlpm.range,   _xlfn.LET(     _xlpm.keys, INDEX(_xlpm.range,,1),     _xlpm.vals, INDEX(_xlpm.range,,2),      _xlpm.nonEmptyRows, safeFilter(_xlfn.SEQUENCE(ROWS(_xlpm.keys)), _xlpm.keys&lt;&gt;""),      _xlpm.safeKeys, IFERROR(INDEX(_xlpm.keys, _xlpm.nonEmptyRows), ""),     _xlpm.safeVals, IFERROR(INDEX(_xlpm.vals, _xlpm.nonEmptyRows), ""),      _xlpm.pairStrings, _xlfn.MAP(_xlpm.safeKeys, _xlpm.safeVals,       _xlfn.LAMBDA(_xlpm.k,_xlpm.v, IF(_xlpm.k&lt;&gt;"", jsonQuote(_xlpm.k) &amp; ":" &amp; _xlpm.v, ""))     ),      _xlpm.joined, _xlfn.TEXTJOIN(",", TRUE, safeFilter(_xlpm.pairStrings, _xlpm.pairStrings&lt;&gt;"")),      IF(_xlpm.joined="", "{}", "{" &amp; _xlpm.joined &amp; "}")   ) )</definedName>
    <definedName name="jsonQuote">_xlfn.LAMBDA(_xlpm.val,   _xlfn.LET(     _xlpm.s, TRIM(_xlpm.val),      _xlpm.isObjOrArr, _xlfn.REGEXTEST(_xlpm.s, "^\s*(\{.*\}|\[.*\])\s*$"),     _xlpm.isBoolNull, _xlfn.REGEXTEST(_xlpm.s, "^(?i:true|false|null)$"),     _xlpm.isNum, _xlfn.REGEXTEST(_xlpm.s, "^-?\d+(\.\d+)?([eE][+-]?\d+)?$"),      _xlpm.isProperQuoted, _xlfn.REGEXTEST(_xlpm.s, "^""[^""]*""$"),      _xlpm.stripOuter, _xlfn.REGEXREPLACE(_xlpm.s, "^""+|""+$", ""),      _xlpm.core, _xlfn.REGEXREPLACE(_xlpm.stripOuter, "("""")", "'"),      _xlpm.result,       IF(_xlpm.isObjOrArr, _xlpm.s,       IF(_xlpm.isNum, _xlpm.s,       IF(_xlpm.isBoolNull, LOWER(_xlpm.s),       IF(_xlpm.isProperQuoted, _xlpm.s,          """" &amp; _xlpm.core &amp; """"       )))),      _xlpm.result   ) )</definedName>
    <definedName name="jsonRemove">_xlfn.LAMBDA(_xlpm.oJson,_xlpm.oPath,   _xlfn.LET(     _xlpm.walk,       _xlfn.LAMBDA(_xlpm.J,_xlpm.P,_xlpm.self,_xlpm.depth,         IF(_xlpm.depth&gt;20,"STOP@"&amp;_xlpm.P,           _xlfn.LET(             _xlpm.set, jsonGetKeysAtLevel(_xlpm.J),             _xlpm.parts, _xlfn.TEXTSPLIT(_xlpm.P,,".",TRUE),             _xlpm.n, ROWS(_xlpm.parts),             _xlpm.hasTail, _xlpm.n&gt;1,              _xlpm.key, INDEX(_xlpm.parts,1),             _xlpm.tail, IF(_xlpm.hasTail, _xlfn.TEXTJOIN(".",,_xlfn.DROP(_xlpm.parts,1)), ""),              _xlpm.keys, IFERROR(INDEX(_xlpm.set,,1), _xlfn.MAKEARRAY(1,1,_xlfn.LAMBDA(_xlpm.r,_xlpm.c,""))),             _xlpm.keypresent, SUM(--(_xlpm.keys=_xlpm.key))&gt;0,              _xlpm.curRaw, IF(_xlpm.keypresent,jsonGet(_xlpm.J,_xlpm.key),NA()),             _xlpm.isObj, AND(NOT(ISNA(_xlpm.curRaw)),LEFT(TRIM(_xlpm.curRaw),1)="{"),              _xlpm.result,               _xlfn.SWITCH(TRUE,                 AND(_xlpm.hasTail,_xlpm.keypresent,_xlpm.isObj),                   jsonObject(arrayRepAdd(_xlpm.set,_xlpm.key,_xlpm.self(_xlpm.curRaw,_xlpm.tail,_xlpm.self,_xlpm.depth+1))),                  NOT(_xlpm.hasTail),                   jsonObject(safeFilter(_xlpm.set,_xlpm.keys&lt;&gt;_xlpm.key)),                  _xlpm.J               ),_xlpm.result)         )       ),     _xlpm.walk(_xlpm.oJson,_xlpm.oPath,_xlpm.walk,0)   ) )</definedName>
    <definedName name="jsonSet">_xlfn.LAMBDA(_xlpm.oJson,_xlpm.oPath,_xlpm.oValue,   _xlfn.LET(     _xlpm.MAX_DEPTH, 10,     _xlpm.walk,       _xlfn.LAMBDA(_xlpm.J,_xlpm.P,_xlpm.V,_xlpm.depth,_xlpm.self,         IF(_xlpm.depth&gt;_xlpm.MAX_DEPTH, "#STOP@"&amp;_xlpm.P,           _xlfn.LET(             _xlpm.set, jsonGetKeysAtLevel(_xlpm.J),             _xlpm.parts, _xlfn.TEXTSPLIT(_xlpm.P,,".",TRUE),             _xlpm.n, ROWS(_xlpm.parts),             _xlpm.hasTail, _xlpm.n&gt;1,             _xlpm.key, INDEX(_xlpm.parts,1),             _xlpm.tail, IF(_xlpm.hasTail, _xlfn.TEXTJOIN(".",,_xlfn.DROP(_xlpm.parts,1)), ""),              _xlpm.keys, IFERROR(INDEX(_xlpm.set,,1), _xlfn.MAKEARRAY(1,1,_xlfn.LAMBDA(_xlpm.r,_xlpm.c,""))),             _xlpm.keypresent, SUM(--(_xlpm.keys=_xlpm.key))&gt;0,              _xlpm.curRaw, IF(_xlpm.keypresent, jsonGet(_xlpm.J,_xlpm.key), ""),             _xlpm.isObj, AND(_xlpm.keypresent, LEFT(TRIM(_xlpm.curRaw),1)="{"),             _xlpm.newValQ, jsonQuote(_xlpm.V),              _xlpm.result,               _xlfn.SWITCH(TRUE,                 AND(_xlpm.hasTail, _xlpm.keypresent, _xlpm.isObj),                   jsonObject(                     arrayRepAdd(_xlpm.set,_xlpm.key,_xlpm.self(_xlpm.curRaw,_xlpm.tail,_xlpm.V,_xlpm.depth+1,_xlpm.self))                   ),                 AND(_xlpm.hasTail, _xlpm.keypresent, NOT(_xlpm.isObj)),                   jsonObject(                     arrayRepAdd(_xlpm.set,_xlpm.key,nestedJsonBuild(_xlpm.tail,_xlpm.V))                   ),                 _xlpm.hasTail,                   jsonObject(                     arrayRepAdd(_xlpm.set,_xlpm.key,nestedJsonBuild(_xlpm.tail,_xlpm.V))                   ),                 AND(NOT(_xlpm.hasTail), _xlpm.keypresent),                   jsonObject(arrayRepAdd(_xlpm.set,_xlpm.key,_xlpm.newValQ)),                 AND(NOT(_xlpm.hasTail), NOT(_xlpm.keypresent)),                   jsonObject(_xlfn.VSTACK(_xlpm.set,_xlfn.HSTACK(_xlpm.key,_xlpm.newValQ))),                 ISNA(_xlpm.set),                   "#SETERR:notObject@"&amp;_xlpm.P,                 TRUE,                   "#SETERR:unhandled@"&amp;_xlpm.P               ),             _xlpm.result           )         )       ),     _xlpm.walk(_xlpm.oJson,_xlpm.oPath,_xlpm.oValue,0,_xlpm.walk)   ) )</definedName>
    <definedName name="listFromJson">_xlfn.LAMBDA(_xlpm.json,   _xlfn.LET(     _xlpm.inner, MID(TRIM(_xlpm.json),2,LEN(TRIM(_xlpm.json))-2),     _xlpm.parts, IF(_xlpm.inner="", _xlfn.MAKEARRAY(0,1,_xlfn.LAMBDA(_xlpm.r,_xlpm.c,"")), _xlfn.TEXTSPLIT(_xlpm.inner, ",",,TRUE)),     TRIM(SUBSTITUTE(_xlpm.parts, """", ""))   ) )</definedName>
    <definedName name="listToJson">_xlfn.LAMBDA(_xlpm.arr,   _xlfn.LET(     _xlpm.quoted, _xlfn.MAP(_xlpm.arr, _xlfn.LAMBDA(_xlpm.x, jsonQuote(_xlpm.x))),     _xlpm.joined, _xlfn.TEXTJOIN(",",TRUE,_xlpm.quoted),     "[" &amp; _xlpm.joined &amp; "]"   ) )</definedName>
    <definedName name="makearr">_xlfn.LAMBDA(_xlpm.arr,_xlfn.MAKEARRAY(ROWS(_xlpm.arr),COLUMNS(_xlpm.arr),_xlfn.LAMBDA(_xlpm.a,_xlpm.b,INDEX(_xlpm.arr,_xlpm.a,_xlpm.b))))</definedName>
    <definedName name="nestedJsonBuild" xml:space="preserve"> _xlfn.LAMBDA(_xlpm.p,_xlpm.v,   _xlfn.LET(     _xlpm.parts, _xlfn.TEXTSPLIT(_xlpm.p,,".",TRUE),     IF(OR(_xlpm.p="", ROWS(_xlpm.parts)=0),       jsonQuote(_xlpm.v),       _xlfn.LET(         _xlpm.rev, INDEX(_xlpm.parts, _xlfn.SEQUENCE(ROWS(_xlpm.parts),1,ROWS(_xlpm.parts),-1)),         _xlfn.REDUCE(           jsonQuote(_xlpm.v),           _xlpm.rev,           _xlfn.LAMBDA(_xlpm.acc,_xlpm.layer, jsonObject(_xlfn.HSTACK(_xlpm.layer, _xlpm.acc)))         )       )     )   ) )</definedName>
    <definedName name="partFill">_xlfn.LAMBDA(_xlpm.span,_xlpm.partarr,_xlop.extrahungry,   _xlfn.LET(     _xlpm.num, ROWS(_xlpm.partarr),       _xlpm.initialState, jsonObject(       _xlfn.HSTACK(         _xlfn.VSTACK("rem","out","row"),         _xlfn.VSTACK(_xlpm.span,"{ }","0")       )     ),      _xlpm.rowarray,       _xlfn.MAKEARRAY(         _xlpm.num, 1,         _xlfn.LAMBDA(_xlpm.rown,_xlpm.ind,           jsonObject(             _xlfn.HSTACK(               _xlfn.VSTACK("name","len","row"),               _xlfn.VSTACK(INDEX(_xlpm.partarr,_xlpm.rown,1), INDEX(_xlpm.partarr,_xlpm.rown,2), _xlpm.rown)             )           )         )       ),      _xlpm.finalState,       _xlfn.REDUCE(         _xlpm.initialState,         _xlpm.rowarray,         _xlfn.LAMBDA(_xlpm.state,_xlpm.partJson,           _xlfn.LET(             _xlpm.rem, VALUE(IFERROR(jsonGet(_xlpm.state,"rem"),"#BROKEN:rem")),             _xlpm.outJson, IFERROR(jsonGet(_xlpm.state,"out"),"#MISSING:out"),             _xlpm.rownum, VALUE(IFERROR(jsonGet(_xlpm.state,"row"),"#BROKEN:row")),             _xlpm.pname, IFERROR(jsonGet(_xlpm.partJson,"name"),"#BROKEN:name"),             _xlpm.plen, VALUE(IFERROR(jsonGet(_xlpm.partJson,"len"),"#BROKEN:len")),             _xlpm.lastpart, IFERROR(jsonGet(_xlpm.state,"lastpart"),"#BROKEN:lastpart"),             _xlpm.lenlpart, IFERROR(jsonGet(_xlpm.state,"lenlpart"),"#BROKEN:lenlpart"),              _xlpm.pcount, INT(_xlpm.rem/_xlpm.plen),             _xlpm.newRem, _xlpm.rem - _xlpm.pcount*_xlpm.plen,              _xlpm.fcount, IF(AND(NOT(ISNA(additionalconfig)), _xlpm.newRem&lt;0, _xlpm.pcount&gt;0), _xlpm.pcount-1, _xlpm.pcount),             _xlpm.finalRem, _xlpm.rem - _xlpm.fcount*_xlpm.plen,              _xlpm.newOut,               IF(_xlfn.NUMBERVALUE(_xlpm.fcount)&gt;0,                  IFERROR(jsonSet(_xlpm.outJson,_xlpm.pname,_xlpm.fcount),"#SETERR:newOut:"&amp;_xlpm.pname&amp;":"&amp;_xlpm.fcount),                  _xlpm.outJson               ),              IFERROR(               jsonSet(                 IFERROR(jsonSet(_xlpm.state,"rem",_xlpm.finalRem),"#SETERR:rem"),                 "out",_xlpm.newOut               ),               "#SETERR:out"             )           )         )       ),     _xlpm.additionalconfig, IF(_xlfn.ISOMITTED(_xlpm.extrahungry),jsonGet(_xlpm.finalState,"out"),jsonJoin(jsonGet(_xlpm.finalState,"out"),_xlfn._xlws.FILTER(INDEX(_xlpm.extrahungry,,1),between(jsonGet(_xlpm.finalState,"rem"),INDEX(_xlpm.extrahungry,,2))),2)),     _xlpm.additionalconfig   ) )</definedName>
    <definedName name="safeDrop">_xlfn.LAMBDA(_xlpm.arr,_xlpm.rows,   _xlfn.LET(     _xlpm.dropped, IFERROR(_xlfn.DROP(_xlpm.arr, _xlpm.rows),_xlfn.MAKEARRAY(1, COLUMNS(_xlpm.arr), _xlfn.LAMBDA(_xlpm.r,_xlpm.c,""))),     _xlpm.out, _xlpm.dropped,     _xlpm.out   ) )</definedName>
    <definedName name="safeFilter" xml:space="preserve"> _xlfn.LAMBDA(_xlpm.arr,_xlpm.include,   _xlfn.LET(     _xlpm.cols, COLUMNS(_xlpm.arr),     _xlpm.safe, IFERROR(_xlfn._xlws.FILTER(_xlpm.arr, _xlpm.include), _xlfn.MAKEARRAY(1, _xlpm.cols, _xlfn.LAMBDA(_xlpm.r,_xlpm.c,""))),     _xlpm.safe   ) 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 a="1"/>
  <c r="D4" i="1" s="1"/>
  <c r="X16" i="1" a="1"/>
  <c r="X16" i="1" s="1"/>
  <c r="W19" i="1" a="1"/>
  <c r="W19" i="1" s="1"/>
  <c r="V22" i="1" a="1"/>
  <c r="V22" i="1" s="1"/>
  <c r="W20" i="1" a="1"/>
  <c r="W20" i="1" s="1"/>
  <c r="N9" i="1" a="1"/>
  <c r="N9" i="1" s="1"/>
  <c r="D7" i="1" s="1" a="1"/>
  <c r="D7" i="1" s="1"/>
  <c r="N10" i="1" a="1"/>
  <c r="N10" i="1" s="1"/>
  <c r="W16" i="1" a="1"/>
  <c r="W16" i="1" s="1"/>
  <c r="D12" i="1" a="1"/>
  <c r="D12" i="1" s="1"/>
  <c r="D11" i="1" a="1"/>
  <c r="D11" i="1" s="1"/>
  <c r="D5" i="1" l="1" a="1"/>
  <c r="D5" i="1" s="1"/>
  <c r="E5" i="1" s="1"/>
  <c r="D6" i="1" a="1"/>
  <c r="D6" i="1" s="1"/>
  <c r="D8" i="1" a="1"/>
  <c r="D8" i="1" s="1"/>
  <c r="D9" i="1" s="1" a="1"/>
  <c r="D9" i="1" s="1"/>
  <c r="S12" i="1" a="1"/>
  <c r="S12" i="1" s="1"/>
  <c r="S13" i="1" a="1"/>
  <c r="S13" i="1" s="1"/>
  <c r="N8" i="1" l="1" a="1"/>
  <c r="N8" i="1" s="1"/>
  <c r="N14" i="1" l="1" a="1"/>
  <c r="N14" i="1" s="1"/>
  <c r="N12" i="1" a="1"/>
  <c r="N12" i="1" s="1"/>
  <c r="N13" i="1" s="1" a="1"/>
  <c r="N13" i="1" s="1"/>
  <c r="N11" i="1" a="1"/>
  <c r="N11" i="1" s="1"/>
  <c r="M13" i="1" a="1"/>
  <c r="M13" i="1" s="1"/>
  <c r="K32" i="1" a="1"/>
  <c r="K32" i="1" s="1"/>
  <c r="J32" i="1" a="1"/>
  <c r="J32" i="1" s="1"/>
  <c r="I32" i="1" a="1"/>
  <c r="I32" i="1" s="1"/>
  <c r="W5" i="1" a="1"/>
  <c r="W5" i="1" s="1"/>
  <c r="W3" i="1" a="1"/>
  <c r="W3" i="1" s="1"/>
  <c r="W4" i="1" a="1"/>
  <c r="W4" i="1" s="1"/>
  <c r="W17" i="1" a="1"/>
  <c r="W17" i="1" s="1"/>
  <c r="W18" i="1" a="1"/>
  <c r="W18" i="1" s="1"/>
  <c r="W15" i="1" a="1"/>
  <c r="W15" i="1" s="1"/>
  <c r="W14" i="1" a="1"/>
  <c r="W14" i="1" s="1"/>
  <c r="W30" i="1" a="1"/>
  <c r="W30" i="1" s="1"/>
  <c r="U37" i="1" a="1"/>
  <c r="U37" i="1" s="1"/>
  <c r="W13" i="1" a="1"/>
  <c r="W13" i="1" s="1"/>
  <c r="R31" i="1" a="1"/>
  <c r="R31" i="1" s="1"/>
  <c r="T37" i="1" a="1"/>
  <c r="T37" i="1" s="1"/>
  <c r="U33" i="1" a="1"/>
  <c r="U33" i="1" s="1"/>
  <c r="T27" i="1" a="1"/>
  <c r="T27" i="1" s="1"/>
  <c r="V28" i="1" a="1"/>
  <c r="V28" i="1" s="1"/>
  <c r="T26" i="1" a="1"/>
  <c r="T26" i="1" s="1"/>
  <c r="P22" i="1" a="1"/>
  <c r="P22" i="1" s="1"/>
  <c r="P31" i="1" a="1"/>
  <c r="P31" i="1" s="1"/>
  <c r="P21" i="1" a="1"/>
  <c r="P21" i="1" s="1"/>
  <c r="T31" i="1" a="1"/>
  <c r="T31" i="1" s="1"/>
  <c r="H23" i="1" a="1"/>
  <c r="H23" i="1" s="1"/>
  <c r="N21" i="1" a="1"/>
  <c r="N21" i="1" s="1"/>
  <c r="U31" i="1" a="1"/>
  <c r="U31" i="1" s="1"/>
  <c r="V21" i="1" a="1"/>
  <c r="V21" i="1" s="1"/>
  <c r="W11" i="1" a="1"/>
  <c r="W11" i="1" s="1"/>
  <c r="X5" i="1" a="1"/>
  <c r="X5" i="1" s="1"/>
  <c r="X7" i="1" a="1"/>
  <c r="X7" i="1" s="1"/>
  <c r="W10" i="1" a="1"/>
  <c r="W10" i="1" s="1"/>
  <c r="W9" i="1" s="1" a="1"/>
  <c r="W9" i="1" s="1"/>
  <c r="W6" i="1" a="1"/>
  <c r="W6" i="1" s="1"/>
  <c r="U6" i="1" a="1"/>
  <c r="U6" i="1" s="1"/>
  <c r="N7" i="1" a="1"/>
  <c r="N6" i="1" a="1"/>
  <c r="M32" i="1" l="1" a="1"/>
  <c r="M32" i="1" s="1"/>
  <c r="N6" i="1"/>
  <c r="N7" i="1"/>
  <c r="M6" i="1" a="1"/>
  <c r="M6" i="1" s="1"/>
  <c r="S21" i="1" a="1"/>
  <c r="S21" i="1" s="1"/>
  <c r="R19" i="1" a="1"/>
  <c r="R19" i="1" s="1"/>
  <c r="S23" i="1" l="1" a="1"/>
  <c r="S23" i="1" s="1"/>
  <c r="M21" i="1" l="1" a="1"/>
  <c r="M21" i="1" s="1"/>
  <c r="N18" i="1" a="1"/>
  <c r="N18" i="1" s="1"/>
  <c r="P19" i="1" s="1" a="1"/>
  <c r="P19" i="1" s="1"/>
  <c r="L21" i="1" a="1"/>
  <c r="L21" i="1" s="1"/>
  <c r="P18" i="1" a="1"/>
  <c r="P18" i="1" s="1"/>
  <c r="U8" i="1" a="1"/>
  <c r="U8" i="1" s="1"/>
  <c r="O17" i="1" a="1"/>
  <c r="O17" i="1" s="1"/>
  <c r="P12" i="1" a="1"/>
  <c r="P12" i="1" s="1"/>
  <c r="P13" i="1" a="1"/>
  <c r="P13" i="1" s="1"/>
  <c r="U5" i="1" l="1" a="1"/>
  <c r="U5" i="1" s="1"/>
  <c r="Q5" i="1" l="1" a="1"/>
  <c r="Q5" i="1" s="1"/>
  <c r="K18" i="1" a="1"/>
  <c r="K18" i="1" s="1"/>
  <c r="Q6" i="1" a="1"/>
  <c r="Q6" i="1" s="1"/>
  <c r="Q9" i="1" l="1" a="1"/>
  <c r="Q9" i="1" s="1"/>
  <c r="U10" i="1" a="1"/>
  <c r="U10" i="1" s="1"/>
  <c r="W12" i="1" s="1" a="1"/>
  <c r="W12" i="1" s="1"/>
  <c r="O12" i="1" a="1"/>
  <c r="O12" i="1" s="1"/>
  <c r="O13" i="1" a="1"/>
  <c r="O13" i="1" s="1"/>
  <c r="U7" i="1" a="1"/>
  <c r="U7" i="1" s="1"/>
  <c r="U9" i="1" a="1"/>
  <c r="U9" i="1" s="1"/>
  <c r="Q7" i="1" a="1"/>
  <c r="Q7" i="1" s="1"/>
  <c r="Q10" i="1" s="1" a="1"/>
  <c r="M7" i="1" a="1"/>
  <c r="M7" i="1" s="1"/>
  <c r="M4" i="1" a="1"/>
  <c r="M4" i="1" s="1"/>
  <c r="W7" i="1" a="1"/>
  <c r="W7" i="1" s="1"/>
  <c r="Q8" i="1" l="1" a="1"/>
  <c r="Q8" i="1" s="1"/>
  <c r="W8" i="1" a="1"/>
  <c r="W8" i="1" s="1"/>
  <c r="X8" i="1" a="1"/>
  <c r="X8" i="1" s="1"/>
  <c r="N32" i="1" a="1"/>
  <c r="N32" i="1" s="1"/>
  <c r="Q10" i="1"/>
  <c r="G9" i="1"/>
  <c r="G10" i="1" a="1"/>
  <c r="G10" i="1" s="1"/>
  <c r="K4" i="1" a="1"/>
  <c r="K4" i="1" s="1"/>
  <c r="H4" i="1" a="1"/>
  <c r="H4" i="1" s="1"/>
  <c r="J4" i="1" a="1"/>
  <c r="J4" i="1" s="1"/>
  <c r="G4" i="1" a="1"/>
  <c r="G4" i="1" s="1"/>
  <c r="F4" i="1" a="1"/>
  <c r="F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cellMetadata count="1">
    <bk>
      <rc t="1" v="0"/>
    </bk>
  </cellMetadata>
  <valueMetadata count="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</valueMetadata>
</metadata>
</file>

<file path=xl/sharedStrings.xml><?xml version="1.0" encoding="utf-8"?>
<sst xmlns="http://schemas.openxmlformats.org/spreadsheetml/2006/main" count="54" uniqueCount="46">
  <si>
    <t>MB</t>
  </si>
  <si>
    <t>RS</t>
  </si>
  <si>
    <t>MB,RS,MB,MB,MB,RS</t>
  </si>
  <si>
    <t>remainder;number of cut to fit;</t>
  </si>
  <si>
    <t>BG</t>
  </si>
  <si>
    <t>QL</t>
  </si>
  <si>
    <t>`JSONTOARRAY2`</t>
  </si>
  <si>
    <t>`JSONTOARRAY`</t>
  </si>
  <si>
    <t>`JSONKEYS`</t>
  </si>
  <si>
    <t>`JSONGET`</t>
  </si>
  <si>
    <t>`JSONSETONE`</t>
  </si>
  <si>
    <t>`JSONSET`</t>
  </si>
  <si>
    <t>{"MB":{"all":{"sideA":"yes"}}}</t>
  </si>
  <si>
    <t>"RL.some"</t>
  </si>
  <si>
    <t>{"MB":{"all":{"sideA":"yes"}},"HD":["r",7,5,m],"RA":["a",1],"L4":"string","simple":55,"strongnum":22,"RL":{"all":{"sideA":"no","sideB":"no"},"some":55}}</t>
  </si>
  <si>
    <t>{"all":{"sideA":"yes"}}</t>
  </si>
  <si>
    <t>jsonQuote(val)</t>
  </si>
  <si>
    <t>jsonObject(range)</t>
  </si>
  <si>
    <t>jsonObject(range+)</t>
  </si>
  <si>
    <t>jsonSet(j,p,v)</t>
  </si>
  <si>
    <t>safeFilter(range,include)</t>
  </si>
  <si>
    <t>safeDrop(range,n,n)</t>
  </si>
  <si>
    <t>jsonUnquote(val)</t>
  </si>
  <si>
    <t>{"MB":12,"RS":10,"BG":5,"QL":2}</t>
  </si>
  <si>
    <t>arrayrepadd(arr,k,v)</t>
  </si>
  <si>
    <t>MB.all.sideA</t>
  </si>
  <si>
    <t>no</t>
  </si>
  <si>
    <t>{"HD":["r",7,5,m],"RA":["a",1],"L4":"string","simple":55,"strongnum":22,"RL":{"all":{"sideA":"no","sideB":"no"},"some":55},"MB":"no"}</t>
  </si>
  <si>
    <t>nestedJsonBuild</t>
  </si>
  <si>
    <t>jsonRemove</t>
  </si>
  <si>
    <t>jsonRemoveEmpty</t>
  </si>
  <si>
    <t>jsonJoin</t>
  </si>
  <si>
    <t>listToJson</t>
  </si>
  <si>
    <t>listFromJson</t>
  </si>
  <si>
    <t>jsonGetKeysAtLevel</t>
  </si>
  <si>
    <t>jsonGet</t>
  </si>
  <si>
    <t>{"all":{"sideA":"no","sideB":"no"},"some":55}</t>
  </si>
  <si>
    <t>{{"MB":{"all":{"sideA":"yes"}}}:,"MB":{"all":{"sideA":"yes"}}}</t>
  </si>
  <si>
    <t>{ }</t>
  </si>
  <si>
    <t>between</t>
  </si>
  <si>
    <t>[0,59]</t>
  </si>
  <si>
    <t>(59,120]</t>
  </si>
  <si>
    <t>(13,59)</t>
  </si>
  <si>
    <t>(25,36),(36,80)</t>
  </si>
  <si>
    <t>[36,36]</t>
  </si>
  <si>
    <t>partFill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</si>
</sst>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7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2" borderId="0" xfId="0" applyFill="1"/>
    <xf numFmtId="0" fontId="0" fillId="0" borderId="0" xfId="0" quotePrefix="1" applyAlignment="1">
      <alignment wrapText="1"/>
    </xf>
    <xf numFmtId="0" fontId="1" fillId="0" borderId="0" xfId="0" applyFont="1"/>
    <xf numFmtId="0" fontId="2" fillId="0" borderId="0" xfId="0" applyFon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13</v>
    <v>3</v>
  </rv>
  <rv s="1">
    <v>1</v>
    <v>8</v>
    <v>6</v>
    <v>1</v>
  </rv>
  <rv s="0">
    <v>13</v>
    <v>24</v>
  </rv>
  <rv s="1">
    <v>12</v>
    <v>8</v>
    <v>0</v>
    <v>1</v>
  </rv>
  <rv s="1">
    <v>1</v>
    <v>8</v>
    <v>3</v>
    <v>1</v>
  </rv>
  <rv s="1">
    <v>1</v>
    <v>8</v>
    <v>1</v>
    <v>1</v>
  </rv>
  <rv s="0">
    <fb t="e">#N/A</fb>
    <v>6</v>
    <v>7</v>
  </rv>
  <rv s="0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D1271-4479-40B4-B4C2-0F37793F82C9}">
  <sheetPr codeName="Sheet1"/>
  <dimension ref="A1:Z48"/>
  <sheetViews>
    <sheetView tabSelected="1" workbookViewId="0">
      <selection activeCell="D11" sqref="D11"/>
    </sheetView>
  </sheetViews>
  <sheetFormatPr defaultRowHeight="15" x14ac:dyDescent="0.25"/>
  <cols>
    <col min="4" max="4" width="13.42578125" customWidth="1"/>
    <col min="10" max="10" width="24.5703125" customWidth="1"/>
    <col min="14" max="14" width="132.28515625" customWidth="1"/>
    <col min="15" max="15" width="19.42578125" customWidth="1"/>
    <col min="18" max="18" width="146.7109375" customWidth="1"/>
    <col min="20" max="20" width="22.85546875" customWidth="1"/>
    <col min="22" max="22" width="21.85546875" customWidth="1"/>
    <col min="23" max="23" width="37.5703125" customWidth="1"/>
    <col min="24" max="24" width="39" customWidth="1"/>
  </cols>
  <sheetData>
    <row r="1" spans="1:24" x14ac:dyDescent="0.25">
      <c r="A1">
        <v>0</v>
      </c>
      <c r="B1">
        <v>10</v>
      </c>
      <c r="C1" t="s">
        <v>0</v>
      </c>
      <c r="Q1" t="s">
        <v>25</v>
      </c>
      <c r="R1" t="s">
        <v>26</v>
      </c>
    </row>
    <row r="2" spans="1:24" x14ac:dyDescent="0.25">
      <c r="B2">
        <v>4</v>
      </c>
      <c r="C2" t="s">
        <v>1</v>
      </c>
      <c r="Q2" t="s">
        <v>14</v>
      </c>
    </row>
    <row r="3" spans="1:24" x14ac:dyDescent="0.25">
      <c r="M3" t="s">
        <v>3</v>
      </c>
      <c r="Q3" t="s">
        <v>14</v>
      </c>
      <c r="V3" t="s">
        <v>35</v>
      </c>
      <c r="W3" t="str" cm="1">
        <f t="array" ref="W3" xml:space="preserve"> _xlfn.LAMBDA(_xlpm.json,_xlpm.path,
  _xlfn.LET(
    _xlpm.keys, _xlfn.TEXTSPLIT(_xlpm.path, "."),
    _xlfn.REDUCE(_xlpm.json, _xlpm.keys, _xlfn.LAMBDA(_xlpm.j,_xlpm.k,
        _xlfn.LET(
          _xlpm.pairs, jsonGetKeysAtLevel(_xlpm.j),
          _xlpm.matchRow, _xlfn._xlws.FILTER(_xlpm.pairs, INDEX(_xlpm.pairs,,1) = _xlpm.k),
          _xlpm.debugOut,_xlpm.k,
          IF(ROWS(_xlpm.matchRow) = 0, NA(), _xlfn.TEXTJOIN(",",TRUE,INDEX(_xlpm.matchRow,,2)))
        )
      ))
  )
)(Q3,"HD")</f>
        <v>["r",7,5,m]</v>
      </c>
    </row>
    <row r="4" spans="1:24" ht="22.5" customHeight="1" x14ac:dyDescent="0.25">
      <c r="D4" t="str" cm="1">
        <f t="array" ref="D4">partFill(A1,B5:C8,D11:E12)</f>
        <v>{"MB":0,"RS":1}</v>
      </c>
      <c r="F4" cm="1">
        <f t="array" ref="F4:F5">_xlfn.LAMBDA(_xlpm.totalLength,_xlpm.partArray,
  _xlfn.LET(
    _xlpm.names, INDEX(_xlpm.partArray,,1),
    _xlpm.lengths, INDEX(_xlpm.partArray,,2),
    _xlpm.initial, _xlpm.totalLength,
    _xlpm.remainingSteps, _xlfn.SCAN(_xlpm.initial, _xlpm.lengths, _xlfn.LAMBDA(_xlpm.rem,_xlpm.len,
      _xlfn.LET(_xlpm.cnt, INT(_xlpm.rem / _xlpm.len), _xlpm.rem - _xlpm.cnt * _xlpm.len)
    )),
    _xlpm.remainingSteps  )
)(A1,B5:C6)</f>
        <v>0</v>
      </c>
      <c r="G4" t="e" cm="1" vm="1">
        <f t="array" ref="G4">_xlfn.LAMBDA(_xlpm.targetLength,_xlpm.partArray,
  _xlfn.LET(
    _xlpm.lengths, INDEX(_xlpm.partArray,,2),
    _xlpm.n, ROWS(_xlpm.partArray),
    _xlpm.result, _xlfn.REDUCE(
      _xlfn.VSTACK(_xlpm.targetLength, _xlfn.SEQUENCE(0,1,0)),
      _xlfn.SEQUENCE(_xlpm.n),
      _xlfn.LAMBDA(_xlpm.state,_xlpm.i,
        _xlfn.LET(
          _xlpm.remaining, INDEX(_xlpm.state,1),
          _xlpm.countsSoFar, _xlfn.DROP(_xlpm.state,1),
          _xlpm.len, INDEX(_xlpm.lengths, _xlpm.i),
          _xlpm.count, IF(_xlpm.len &gt; 0, INT(_xlpm.remaining / _xlpm.len), 0),
          _xlpm.newRemaining, _xlpm.remaining - _xlpm.count * _xlpm.len,
          _xlfn.VSTACK(_xlpm.newRemaining, _xlfn.VSTACK(_xlpm.countsSoFar, _xlpm.count))
        )
      )
    ),
    _xlfn.DROP(_xlpm.result,1)
  )
)(A1,B5:C6)</f>
        <v>#VALUE!</v>
      </c>
      <c r="H4" cm="1">
        <f t="array" ref="H4">_xlfn.LET(
  _xlpm.x, 10,
  _xlfn.REDUCE(20,_xlfn.SEQUENCE(5),_xlfn.LAMBDA(_xlpm.n,_xlpm.r,_xlfn.LET(
    _xlpm.x, _xlpm.x-_xlpm.n,
    _xlpm.x
  )
)
))</f>
        <v>-10</v>
      </c>
      <c r="J4" cm="1">
        <f t="array" ref="J4:J8">_xlfn.SEQUENCE(5)</f>
        <v>1</v>
      </c>
      <c r="K4" s="1" t="e" cm="1">
        <f t="array" ref="K4:K7">_xlfn.LAMBDA(_xlpm.acc,_xlpm.currentIndex,
  _xlfn.LET(
    _xlpm.remaining, INDEX(_xlpm.acc,1),
    _xlpm.counts, _xlfn.DROP(_xlpm.acc,1),
    _xlpm.partLength, INDEX(lengths, _xlpm.currentIndex),
    _xlpm.count, INT(_xlpm.remaining / _xlpm.partLength),
    _xlpm.newRemaining, _xlpm.remaining - _xlpm.count * _xlpm.partLength,
    _xlpm.newCounts, _xlfn.MAP(_xlfn.SEQUENCE(ROWS(_xlpm.counts)), _xlfn.LAMBDA(_xlpm.i, IF(_xlpm.i = _xlpm.currentIndex, _xlpm.count, INDEX(_xlpm.counts,_xlpm.i)))),
    _xlfn.VSTACK(_xlpm.newRemaining, _xlpm.newCounts)
  )
)(_xlfn.VSTACK(25, {0;4;0}),8)</f>
        <v>#NAME?</v>
      </c>
      <c r="M4" s="2" t="str" cm="1">
        <f t="array" ref="M4">_xlfn.LAMBDA(_xlpm.span,_xlpm.partarr, _xlfn.LET(
_xlpm.initialvariables,_xlfn.TEXTJOIN(";",FALSE,_xlpm.span,0,""),
_xlpm.rowarray,_xlfn.BYROW(_xlpm.partarr,_xlfn.LAMBDA(_xlpm.row,_xlfn.TEXTJOIN(",",TRUE,_xlpm.row))),
_xlfn.REDUCE(_xlpm.initialvariables,_xlpm.rowarray,_xlfn.LAMBDA(_xlpm.variables,_xlpm.partvalues,
_xlfn.LET(
_xlpm.partvalues, _xlfn.TEXTSPLIT(_xlpm.partvalues,","),
_xlpm.partname, INDEX(_xlpm.partvalues,,1),
_xlpm.partlength,INDEX(_xlpm.partvalues,,2),
_xlpm.variablevalues,_xlfn.TEXTSPLIT(_xlpm.variables,";"),
_xlpm.remainder,INDEX(_xlpm.variablevalues,,1),
_xlpm.partcount,INT(_xlpm.remainder/_xlpm.partlength),
_xlpm.newrem,_xlpm.remainder-_xlpm.partlength*_xlpm.partcount,
_xlpm.oldoutput,INDEX(_xlpm.variablevalues,,3),
_xlfn.TEXTJOIN(";",FALSE,_xlpm.newrem,0,_xlpm.oldoutput &amp; "," &amp; _xlpm.partcount &amp; "*" &amp; _xlpm.partname)
)))))(A1,B5:C8)</f>
        <v>0;0;,0*MB,0*RS,0*BG,0*QL</v>
      </c>
      <c r="Q4" t="s">
        <v>12</v>
      </c>
      <c r="V4" t="s">
        <v>34</v>
      </c>
      <c r="W4" t="e" cm="1" vm="2">
        <f t="array" aca="1" ref="W4" ca="1" xml:space="preserve"> _xlfn.LAMBDA(_xlpm.json,
  _xlfn.LET(
    _xlpm.content, IF(LEFT(_xlpm.json,1) = "{",MID(_xlpm.json, 2, LEN(_xlpm.json) - 2),_xlpm.json),
    _xlpm.chars, MID(_xlpm.content, _xlfn.SEQUENCE(LEN(_xlpm.content)), 1),
    _xlpm.initialState, _xlfn.VSTACK("", 0, 0, FALSE, "-0-0-FALSE",""),
    _xlpm.processed,
    _xlfn.REDUCE(
      _xlpm.initialState,
      _xlpm.chars,
      _xlfn.LAMBDA(_xlpm.state,_xlpm.ch,
        _xlfn.LET(
          _xlpm.token, INDEX(_xlpm.state, 1),
          _xlpm.curl, INDEX(_xlpm.state, 2),
          _xlpm.square, INDEX(_xlpm.state, 3),
          _xlpm.quotes, INDEX(_xlpm.state, 4),
          _xlpm.info, INDEX(_xlpm.state, 5),
          _xlpm.tail, _xlfn.DROP(_xlpm.state, 5),
          _xlpm.isQuote, _xlpm.ch = CHAR(34),
          _xlpm.newQuotes, IF(_xlpm.ch = CHAR(34), NOT(_xlpm.quotes), _xlpm.quotes),
          _xlpm.newCurl, IF(_xlpm.quotes, _xlpm.curl, IF(_xlpm.ch = "{", _xlpm.curl + 1, IF(_xlpm.ch = "}", _xlpm.curl - 1, _xlpm.curl))),
          _xlpm.newSquare, IF(_xlpm.quotes, _xlpm.square, IF(_xlpm.ch = "[", _xlpm.square + 1, IF(_xlpm.ch = "]", _xlpm.square - 1, _xlpm.square))),
          _xlpm.level, _xlpm.newCurl + _xlpm.newSquare,
          _xlpm.isSplit, AND(_xlpm.ch = ",", _xlpm.level = 0, NOT(_xlpm.newQuotes)),
          _xlpm.newToken, IF(_xlpm.isSplit, "", _xlpm.token &amp; _xlpm.ch),
          _xlpm.newTail, IF(_xlpm.isSplit,
             _xlfn.VSTACK(_xlpm.tail, _xlpm.token),
             _xlpm.tail
          ),
          _xlpm.newInfo, _xlfn.TEXTJOIN("-",TRUE,_xlpm.info,";",_xlpm.isSplit,_xlpm.newToken, _xlpm.newCurl, _xlpm.newSquare, _xlpm.newQuotes ),
          _xlfn.VSTACK(_xlpm.newToken, _xlpm.newCurl, _xlpm.newSquare, _xlpm.newQuotes, _xlpm.newInfo, _xlpm.newTail)
        )
      )
    ),
    _xlpm.rawPairs, _xlfn.DROP(_xlpm.processed, 5),
    _xlpm.lastToken, INDEX(_xlpm.processed, 1),
    _xlpm.combined,IF(_xlpm.lastToken &lt;&gt; "", _xlfn.VSTACK(_xlpm.rawPairs, _xlpm.lastToken), _xlpm.rawPairs),
    _xlpm.allPairs, _xlfn._xlws.FILTER(_xlpm.combined,_xlpm.combined &lt;&gt; ""),
    _xlpm.keypairs,_xlfn.REDUCE(
      {"",""},
      _xlpm.allPairs,
      _xlfn.LAMBDA(_xlpm.acc,_xlpm.pair,
        _xlfn.LET(
          _xlpm.sep, _xlfn.TEXTAFTER(_xlpm.pair, ":"),
          _xlpm.key, _xlfn.TEXTBEFORE(_xlpm.pair, ":"),
          _xlpm.cleanKey, TRIM(SUBSTITUTE(_xlpm.key, """", "")),
          _xlpm.cleanVal, TRIM(_xlpm.sep),
          _xlfn.VSTACK(_xlpm.acc, _xlfn.HSTACK(_xlpm.cleanKey, _xlpm.cleanVal))
        )
      )
    ),
    _xlfn.DROP(_xlpm.keypairs,1)
  )
)(Q3)</f>
        <v>#VALUE!</v>
      </c>
      <c r="X4" t="s">
        <v>23</v>
      </c>
    </row>
    <row r="5" spans="1:24" x14ac:dyDescent="0.25">
      <c r="B5" t="s">
        <v>0</v>
      </c>
      <c r="C5">
        <v>120</v>
      </c>
      <c r="D5" t="e" cm="1">
        <f t="array" ref="D5">C5*jsonGet(N9,"out.MB")</f>
        <v>#N/A</v>
      </c>
      <c r="E5" t="e">
        <f>SUM(D5:D6)</f>
        <v>#N/A</v>
      </c>
      <c r="F5">
        <v>0</v>
      </c>
      <c r="J5">
        <v>2</v>
      </c>
      <c r="K5">
        <v>0</v>
      </c>
      <c r="Q5" t="str" cm="1">
        <f t="array" ref="Q5">_xlfn.LAMBDA(_xlpm.keys,_xlpm.values,
  _xlfn.LET(
    _xlpm.jsonPairs, _xlfn.MAP(_xlpm.keys, _xlpm.values, _xlfn.LAMBDA(_xlpm.k,_xlpm.v, """" &amp; _xlpm.k &amp; """:" &amp; IF(ISNUMBER(_xlpm.v), _xlpm.v, """" &amp; _xlpm.v &amp; """"))),
    "{" &amp; _xlfn.TEXTJOIN(",", TRUE, _xlpm.jsonPairs) &amp; "}"
  )
)( B5:B8, C5:C8)</f>
        <v>{"MB":120,"RS":59,"BG":5,"QL":2}</v>
      </c>
      <c r="T5" t="s">
        <v>11</v>
      </c>
      <c r="U5" t="e" cm="1" vm="3">
        <f t="array" ref="U5" xml:space="preserve"> _xlfn.LAMBDA(_xlpm.json,_xlpm.path,_xlpm.val,
  _xlfn.LET(
    _xlpm.keys, _xlfn.TEXTSPLIT(_xlpm.path, "."),
    _xlpm.build, _xlfn.LAMBDA(_xlpm.i,_xlpm.currentJson,
      _xlfn.LET(
        _xlpm.key, INDEX(_xlpm.keys, _xlpm.i),
        _xlpm.isLast, _xlpm.i = COUNTA(_xlpm.keys),
        _xlpm.currentVal, IF(_xlpm.isLast, _xlpm.val, "{}"),
        _xlpm.updated,_FI( _xlpm.json,"SETONE")(_xlpm.currentJson, _xlpm.key, _xlpm.currentVal),
        IF(_xlpm.isLast, _xlpm.updated,_FI( _xlpm.json,"SET")(_xlpm.updated, _xlfn.TEXTJOIN(".",,_xlfn.DROP(_xlpm.keys,1)), _xlpm.val))
      )
    ),
    _xlpm.build(1, _xlpm.json)
  )
)</f>
        <v>#VALUE!</v>
      </c>
      <c r="V5" t="s">
        <v>16</v>
      </c>
      <c r="W5" t="str" cm="1">
        <f t="array" ref="W5">_xlfn.LAMBDA(_xlpm.val,
  _xlfn.LET(
    _xlpm.trimmed, TRIM(_xlpm.val),
    _xlpm.isObjOrArray, OR(LEFT(_xlpm.trimmed)="[", LEFT(_xlpm.trimmed)="{"),
    _xlpm.isNum, ISNUMBER(--_xlpm.trimmed),
    _xlpm.isBool, OR(LOWER(_xlpm.trimmed)="true", LOWER(_xlpm.trimmed)="false", LOWER(_xlpm.trimmed)="null"),
    _xlpm.alreadyQuoted, AND(LEFT(_xlpm.trimmed) = """", RIGHT(_xlpm.trimmed) = """"),
    _xlpm.safe, IF(
      _xlpm.isObjOrArray, _xlpm.trimmed,
      IF(_xlpm.isNum, _xlpm.trimmed,
      IF(_xlpm.isBool, LOWER(_xlpm.trimmed),
      IF(_xlpm.alreadyQuoted, "'" &amp; MID(_xlpm.trimmed,2,LEN(_xlpm.trimmed)-2) &amp; "'",
      """" &amp; SUBSTITUTE(_xlpm.trimmed, """", "\""") &amp; """"
    )))),
    _xlpm.safe
  )
)(C8)</f>
        <v>2</v>
      </c>
      <c r="X5" t="str" cm="1">
        <f t="array" ref="X5">_xlfn.LAMBDA(_xlpm.val,
  _xlfn.LET(
    _xlpm.s, TRIM(_xlpm.val),
    _xlpm.isObjOrArr, _xlfn.REGEXTEST(_xlpm.s, "^\s*(\{.*\}|\[.*\])\s*$"),
    _xlpm.isBoolNull, _xlfn.REGEXTEST(_xlpm.s, "^(?i:true|false|null)$"),
    _xlpm.isNum, _xlfn.REGEXTEST(_xlpm.s, "^-?\d+(\.\d+)?([eE][+-]?\d+)?$"),
    _xlpm.isProperQuoted, _xlfn.REGEXTEST(_xlpm.s, "^""[^""]*""$"),
    _xlpm.stripOuter, _xlfn.REGEXREPLACE(_xlpm.s, "^""+|""+$", ""),
    _xlpm.core, _xlfn.REGEXREPLACE(_xlpm.stripOuter, "("""")", "'"),
    _xlpm.result,
      IF(_xlpm.isObjOrArr, _xlpm.s,
      IF(_xlpm.isNum, _xlpm.s,
      IF(_xlpm.isBoolNull, LOWER(_xlpm.s),
      IF(_xlpm.isProperQuoted, _xlpm.s,
         """" &amp; _xlpm.core &amp; """"
      )))),
    _xlpm.result
  )
)("jason is a """"name"""" not a data type")</f>
        <v>"jason is a 'name' not a data type"</v>
      </c>
    </row>
    <row r="6" spans="1:24" x14ac:dyDescent="0.25">
      <c r="B6" t="s">
        <v>1</v>
      </c>
      <c r="C6">
        <v>59</v>
      </c>
      <c r="D6" t="e" cm="1">
        <f t="array" ref="D6">C6*jsonGet(N9,"out.RS")</f>
        <v>#N/A</v>
      </c>
      <c r="J6">
        <v>3</v>
      </c>
      <c r="K6">
        <v>4</v>
      </c>
      <c r="M6" t="str" cm="1">
        <f t="array" ref="M6">_xlfn.LAMBDA(_xlpm.span,_xlpm.partarr,_xlpm.extrahungry,
_xlfn.LET(
  _xlpm.n, ROWS(_xlpm.partarr),
  _xlpm.initialvariables, _xlfn.TEXTJOIN(";", FALSE, _xlpm.span, 0, ""),
  _xlpm.rowarray, _xlfn.MAKEARRAY(_xlpm.n, 1, _xlfn.LAMBDA(_xlpm.r,_xlpm.c, _xlfn.TEXTJOIN(",", TRUE, INDEX(_xlpm.partarr, _xlpm.r, 1), INDEX(_xlpm.partarr, _xlpm.r, 2), _xlpm.r))),
  _xlfn.REDUCE(
    _xlpm.initialvariables,
    _xlpm.rowarray,
    _xlfn.LAMBDA(_xlpm.variables,_xlpm.partvalues,
      _xlfn.LET(
        _xlpm.splitvals, _xlfn.TEXTSPLIT(_xlpm.partvalues, ","),
        _xlpm.partname, INDEX(_xlpm.splitvals, 1),
        _xlpm.partlength, VALUE(INDEX(_xlpm.splitvals, 2)),
        _xlpm.rownum, VALUE(INDEX(_xlpm.splitvals, 3)),
        _xlpm.variablevalues, _xlfn.TEXTSPLIT(_xlpm.variables, ";"),
        _xlpm.remainder, VALUE(INDEX(_xlpm.variablevalues, 1)),
        _xlpm.partcount, INT(_xlpm.remainder / _xlpm.partlength),
        _xlpm.newrem, _xlpm.remainder - _xlpm.partcount * _xlpm.partlength,
        _xlpm.oldoutput, INDEX(_xlpm.variablevalues, 3),
        _xlpm.overfill, IF(_xlpm.extrahungry * (_xlpm.rownum = _xlpm.n) * (_xlpm.newrem &gt; 0) * (_xlpm.newrem &lt; _xlpm.partlength),1,0),
        _xlpm.finalcount, _xlpm.partcount + _xlpm.overfill,
        _xlpm.finalrem, _xlpm.remainder - _xlpm.finalcount * _xlpm.partlength,
        _xlpm.newoutput, _xlpm.oldoutput &amp; IF(_xlpm.finalcount &gt; 0, "," &amp; _xlpm.finalcount &amp; "*" &amp; _xlpm.partname, ""),
        _xlfn.TEXTJOIN(";", FALSE, _xlpm.finalrem, 0, _xlpm.newoutput)
      )
    )
  )
))(A1,B5:C8,TRUE)</f>
        <v>0;0;</v>
      </c>
      <c r="N6" t="str" cm="1">
        <f t="array" ref="N6">_xlfn.LAMBDA(_xlpm.span,_xlpm.partarr,_xlpm.extrahungry,
  _xlfn.LET(
    _xlpm.n, ROWS(_xlpm.partarr),
    _xlpm.initialState, jsonObject(
      _xlfn.HSTACK(
        _xlfn.VSTACK("rem","out","row"),
        _xlfn.VSTACK(_xlpm.span,"","0")
      )
    ),
    _xlpm.rowarray,
      _xlfn.MAKEARRAY(
        _xlpm.n, 1,
        _xlfn.LAMBDA(_xlpm.r,_xlpm.c,
          jsonObject(
            _xlfn.HSTACK(
              _xlfn.VSTACK("name","len","row"),
              _xlfn.VSTACK(INDEX(_xlpm.partarr,_xlpm.r,1), INDEX(_xlpm.partarr,_xlpm.r,2), _xlpm.r)
            )
          )
        )
      ),
    _xlpm.finalState,
      _xlfn.REDUCE(
        _xlpm.initialState,
        _xlpm.rowarray,
        _xlfn.LAMBDA(_xlpm.state,_xlpm.partJson,
          _xlfn.LET(
            _xlpm.rem, VALUE(jsonGet(_xlpm.state,"rem")),
            _xlpm.out, jsonGet(_xlpm.state,"out"),
            _xlpm.rownum, VALUE(jsonGet(_xlpm.partJson,"row")),
            _xlpm.pname, jsonGet(_xlpm.partJson,"name"),
            _xlpm.plen, VALUE(jsonGet(_xlpm.partJson,"len")),
            _xlpm.pcount, INT(_xlpm.rem/_xlpm.plen),
            _xlpm.newRem, _xlpm.rem - _xlpm.pcount*_xlpm.plen,
            _xlpm.overfill,
              IF(_xlpm.extrahungry * (_xlpm.rownum=_xlpm.n) * (_xlpm.newRem&gt;0) * (_xlpm.newRem&lt;_xlpm.plen), 1, 0),
            _xlpm.fcount, _xlpm.pcount + _xlpm.overfill,
            _xlpm.finalRem, _xlpm.rem - _xlpm.fcount*_xlpm.plen,
            _xlpm.newOut,
              _xlpm.out &amp; IF(_xlpm.fcount&gt;0, "," &amp; _xlpm.fcount &amp; "*" &amp; _xlpm.pname, ""),
            jsonSet(
              jsonSet(
                jsonSet(_xlpm.state,"rem",_xlpm.finalRem),
                "out",_xlpm.newOut
              ),
              "row",_xlpm.rownum
            )
          )
        )
      ),
    jsonRemove(_xlpm.finalState,"row")
  )
)(A1,B5:C8,TRUE)</f>
        <v>{}</v>
      </c>
      <c r="Q6" t="e" cm="1">
        <f t="array" ref="Q6">_xlfn.LAMBDA(_xlpm.json,_xlpm.key,
  _xlfn.LET(
    _xlpm.parts, _xlfn.TEXTSPLIT(MID(_xlpm.json, 2, LEN(_xlpm.json)-2), ","),
    _xlpm.keys, _xlfn.TEXTBEFORE(_xlpm.parts, ":"),
    _xlpm.values, _xlfn.TEXTAFTER(_xlpm.parts, ":"),
    _xlpm.cleanKeys, _xlfn.MAP(_xlpm.keys, _xlfn.LAMBDA(_xlpm.k, TRIM(SUBSTITUTE(SUBSTITUTE(_xlpm.k, """", ""), " ", "")))),
    _xlpm.cleanValues, _xlfn.MAP(_xlpm.values, _xlfn.LAMBDA(_xlpm.v, TRIM(SUBSTITUTE(_xlpm.v, """", "")))),
    INDEX(_xlpm.cleanValues, _xlfn.XMATCH(_xlpm.key, _xlpm.cleanKeys))
  )
)(M6, "MB")</f>
        <v>#N/A</v>
      </c>
      <c r="T6" t="s">
        <v>10</v>
      </c>
      <c r="U6" t="e" cm="1" vm="3">
        <f t="array" ref="U6">_xlfn.LAMBDA(_xlpm.json,_xlpm.key,_xlpm.val,
_xlfn.LET(
_xlpm.clean,MID(_xlpm.json,2,LEN(_xlpm.json)-2),
_xlpm.items,IF(_xlpm.clean="",_xlfn.SEQUENCE(1)*0,_xlfn.TEXTSPLIT(_xlpm.clean,",")),
_xlpm.updated,_xlfn.MAP(_xlpm.items,_xlfn.LAMBDA(_xlpm.pair,
_xlfn.LET(
_xlpm.parts,_xlfn.TEXTSPLIT(_xlpm.pair,":"),
_xlpm.k,TRIM(SUBSTITUTE(INDEX(_xlpm.parts,1),"""","")),
_xlpm.v,INDEX(_xlpm.parts,2),
IF(_xlpm.k=_xlpm.key,""""&amp;_xlpm.key&amp;""":"""&amp;_xlpm.val&amp;"""",""""&amp;_xlpm.k&amp;""":"&amp;_xlpm.v)
)
)),
_xlpm.keyExists,SUM(_xlfn.MAP(_xlpm.items,_xlfn.LAMBDA(_xlpm.pair,--(LEFT(_xlpm.pair,LEN(_xlpm.key)+2)=""""&amp;_xlpm.key&amp;""":"))))&gt;0,
_xlpm.finalItems,IF(_xlpm.keyExists,_xlpm.updated,_xlfn.VSTACK(_xlpm.updated,""""&amp;_xlpm.key&amp;""":"""&amp;_xlpm.val&amp;"""")),"{"&amp;_xlfn.TEXTJOIN(",",TRUE,_xlpm.finalItems)&amp;"}")
)</f>
        <v>#VALUE!</v>
      </c>
      <c r="V6" t="s">
        <v>17</v>
      </c>
      <c r="W6" t="str" cm="1">
        <f t="array" ref="W6">_xlfn.LAMBDA(_xlpm.rng,
  _xlfn.LET(
    _xlpm.keys, INDEX(_xlpm.rng,,1),
    _xlpm.vals, INDEX(_xlpm.rng,,2),
    _xlpm.validMask, _xlpm.keys&lt;&gt;"",
    _xlpm.cleanKeys, _xlfn._xlws.FILTER(_xlpm.keys, _xlpm.validMask),
    _xlpm.cleanVals, _xlfn._xlws.FILTER(_xlpm.vals, _xlpm.validMask),
    _xlpm.quotedKeys, _xlfn.MAP(_xlpm.cleanKeys, _xlfn.LAMBDA(_xlpm.k, """" &amp; TRIM(_xlpm.k) &amp; """")),
    _xlpm.quotedVals, _xlfn.MAP(_xlpm.cleanVals, jsonQuote),
    _xlpm.pairs, _xlfn.MAP(_xlpm.quotedKeys, _xlpm.quotedVals, _xlfn.LAMBDA(_xlpm.k,_xlpm.v, _xlpm.k &amp; ":" &amp; _xlpm.v)),
    _xlpm.obj, "{" &amp; _xlfn.TEXTJOIN(",",,_xlpm.pairs) &amp; "}",
    _xlpm.obj
  )
)(B5:C8)</f>
        <v>{"MB":120,"RS":59,"BG":5,"QL":2}</v>
      </c>
    </row>
    <row r="7" spans="1:24" x14ac:dyDescent="0.25">
      <c r="B7" t="s">
        <v>4</v>
      </c>
      <c r="C7">
        <v>5</v>
      </c>
      <c r="D7" t="e" cm="1">
        <f t="array" ref="D7">jsonJoin(jsonGet(N9,"out"),_xlfn._xlws.FILTER(INDEX(D11:E12,,1),between(jsonGet(N9,"rem"),INDEX(D11:E12,,2))),2)</f>
        <v>#N/A</v>
      </c>
      <c r="J7">
        <v>4</v>
      </c>
      <c r="K7">
        <v>0</v>
      </c>
      <c r="M7" t="e" cm="1">
        <f t="array" ref="M7">_xlfn.LAMBDA(_xlpm.span,_xlpm.partarr,_xlpm.extrahungry,_xlpm.buffer,
_xlfn.LET(
  _xlpm.n, ROWS(_xlpm.partarr),
  _xlpm.initialvars, _xlfn.TEXTJOIN(";", FALSE, _xlpm.span, 0, "", "", ""),
  _xlpm.rowarray, _xlfn.MAKEARRAY(_xlpm.n, 1, _xlfn.LAMBDA(_xlpm.r,_xlpm.c,
    _xlfn.TEXTJOIN(",", TRUE, INDEX(_xlpm.partarr, _xlpm.r, 1), INDEX(_xlpm.partarr, _xlpm.r, 2), _xlpm.r)
  )),
  _xlpm.result, _xlfn.REDUCE(
    _xlpm.initialvars,
    _xlpm.rowarray,
    _xlfn.LAMBDA(_xlpm.vars,_xlpm.partvalues,
      _xlfn.LET(
        _xlpm.pvals, _xlfn.TEXTSPLIT(_xlpm.partvalues, ","),
        _xlpm.part, INDEX(_xlpm.pvals, 1),
        _xlpm.width, VALUE(INDEX(_xlpm.pvals, 2)),
        _xlpm.rownum, VALUE(INDEX(_xlpm.pvals, 3)),
        _xlpm.v, _xlfn.TEXTSPLIT(_xlpm.vars, ";"),
        _xlpm.rem, VALUE(INDEX(_xlpm.v, 1)),
        _xlpm.output, INDEX(_xlpm.v, 3),
        _xlpm.lastpart, INDEX(_xlpm.v, 4),
        _xlpm.lastwidth, VALUE(IFERROR(INDEX(_xlpm.v, 5), 0)),
        _xlpm.count, INT(_xlpm.rem / _xlpm.width),
        _xlpm.newrem, _xlpm.rem - _xlpm.count * _xlpm.width,
        _xlpm.overfill, IF(
          _xlpm.extrahungry * (_xlpm.rownum = _xlpm.n) * (_xlpm.newrem &gt; 0) * (_xlpm.newrem &lt; _xlpm.width),
          1,
          0
        ),
        _xlpm.count_after_extrahungry, _xlpm.count + _xlpm.overfill,
        _xlpm.rem_after_extrahungry, _xlpm.rem - _xlpm.count_after_extrahungry * _xlpm.width,
        _xlpm.do_swap, _xlpm.extrahungry * (_xlpm.rownum = _xlpm.n) * (_xlpm.rem_after_extrahungry &lt; _xlpm.buffer) * (_xlpm.lastwidth &gt;= _xlpm.width + _xlpm.rem_after_extrahungry),
        _xlpm.final_count, _xlpm.count_after_extrahungry - IF(_xlpm.do_swap, 1, 0),
        _xlpm.final_rem, _xlpm.rem - _xlpm.final_count * _xlpm.width,
        _xlpm.new_output, _xlfn.TEXTJOIN(",", TRUE,
          IF(_xlpm.do_swap, "1*" &amp; _xlpm.lastpart, ""),
          IF(_xlpm.final_count &gt; 0, _xlpm.final_count &amp; "*" &amp; _xlpm.part, "")
        ),
        _xlpm.combined_output, _xlfn.TEXTJOIN(",", TRUE, _xlpm.output, _xlpm.new_output),
        _xlfn.TEXTJOIN(";", FALSE, _xlpm.final_rem, 0, _xlpm.combined_output, _xlpm.part, _xlpm.width)
      )
    )
  ),
_xlfn.TEXTSPLIT(_xlpm.result, ";")
))(A1,B5:C8,TRUE,6)</f>
        <v>#VALUE!</v>
      </c>
      <c r="N7" t="str" cm="1">
        <f t="array" ref="N7">_xlfn.LAMBDA(_xlpm.span,_xlpm.partarr,_xlpm.extrahungry,
  _xlfn.LET(
    _xlpm.num, ROWS(_xlpm.partarr),
    _xlpm.initialState, jsonObject(
      _xlfn.HSTACK(
        _xlfn.VSTACK("rem","out","row"),
        _xlfn.VSTACK(_xlpm.span,"{}","0")
      )
    ),
    _xlpm.rowarray,
      _xlfn.MAKEARRAY(
        _xlpm.num, 1,
        _xlfn.LAMBDA(_xlpm.rown,_xlpm.ind,
          jsonObject(
            _xlfn.HSTACK(
              _xlfn.VSTACK("name","len","row"),
              _xlfn.VSTACK(INDEX(_xlpm.partarr,_xlpm.rown,1), INDEX(_xlpm.partarr,_xlpm.rown,2), _xlpm.rown)
            )
          )
        )
      ),
    _xlpm.finalState,
      _xlfn.REDUCE(
        _xlpm.initialState,
        _xlpm.rowarray,
        _xlfn.LAMBDA(_xlpm.state,_xlpm.partJson,
          _xlfn.LET(
            _xlpm.rem, VALUE(jsonGet(_xlpm.state,"rem")),
            _xlpm.outJson, jsonGet(_xlpm.state,"out"),
            _xlpm.rownum, VALUE(jsonGet(_xlpm.partJson,"row")),
            _xlpm.pname, jsonGet(_xlpm.partJson,"name"),
            _xlpm.plen, VALUE(jsonGet(_xlpm.partJson,"len")),
            _xlpm.pcount, INT(_xlpm.rem/_xlpm.plen),
            _xlpm.newRem, _xlpm.rem - _xlpm.pcount*_xlpm.plen,
            _xlpm.overfill,
              IF(_xlpm.extrahungry * (_xlpm.rownum=_xlpm.num) * (_xlpm.newRem&gt;0) * (_xlpm.newRem&lt;_xlpm.plen), 1, 0),
            _xlpm.fcount, _xlpm.pcount + _xlpm.overfill,
            _xlpm.finalRem, _xlpm.rem - _xlpm.fcount*_xlpm.plen,
            _xlpm.newOut,
              IF(_xlpm.fcount&gt;0,
                 jsonSet(_xlpm.outJson,_xlpm.pname,_xlpm.fcount),
                 _xlpm.outJson
              ),
            jsonSet(
              jsonSet(
                jsonSet(_xlpm.state,"rem",_xlpm.finalRem),
                "out",_xlpm.newOut
              ),
              "row",_xlpm.rownum
            )
          )
        )
      ),
    _xlpm.finalState
  )
)(A1,B5:C5,TRUE)</f>
        <v>{"rem":0,"out":{},"row":1}</v>
      </c>
      <c r="Q7" t="str" cm="1">
        <f t="array" ref="Q7">_xlfn.LAMBDA(_xlpm.json,_xlpm.setKey,_xlpm.setValue,
  _xlfn.LET(
    _xlpm.items, _xlfn.TEXTSPLIT(MID(_xlpm.json, 2, LEN(_xlpm.json)-2), ","),
    _xlpm.keys, _xlfn.TEXTBEFORE(_xlpm.items, ":"),
    _xlpm.values, _xlfn.TEXTAFTER(_xlpm.items, ":"),
    _xlpm.cleanKeys, _xlfn.MAP(_xlpm.keys, _xlfn.LAMBDA(_xlpm.k, TRIM(SUBSTITUTE(SUBSTITUTE(_xlpm.k, """", ""), " ", "")))),
    _xlpm.newItems,
      IF(
        ISNUMBER(_xlfn.XMATCH(_xlpm.setKey, _xlpm.cleanKeys)),
        _xlfn.MAP(_xlpm.cleanKeys, _xlpm.values, _xlfn.LAMBDA(_xlpm.k,_xlpm.v,
          IF(_xlpm.k=_xlpm.setKey,
            """" &amp; _xlpm.k &amp; """:" &amp; IF(ISNUMBER(_xlpm.setValue), _xlpm.setValue, """" &amp; _xlpm.setValue &amp; """"),
            """" &amp; _xlpm.k &amp; """:" &amp; _xlpm.v
          )
        )),
        _xlfn.VSTACK(
          _xlfn.MAP(_xlpm.cleanKeys, _xlpm.values, _xlfn.LAMBDA(_xlpm.k,_xlpm.v, """" &amp; _xlpm.k &amp; """:" &amp; _xlpm.v)),
          """" &amp; _xlpm.setKey &amp; """:" &amp; IF(ISNUMBER(_xlpm.setValue), _xlpm.setValue, """" &amp; _xlpm.setValue &amp; """")
        )
      ),
    "{" &amp; _xlfn.TEXTJOIN(",", TRUE, _xlpm.newItems) &amp; "}"
  )
)(Q5, "MB", 35)</f>
        <v>{"MB":35,"RS":59,"BG":5,"QL":2}</v>
      </c>
      <c r="T7" t="s">
        <v>9</v>
      </c>
      <c r="U7" t="e" cm="1" vm="1">
        <f t="array" ref="U7" xml:space="preserve"> _xlfn.LAMBDA(_xlpm.json,_xlpm.path,
  _xlfn.LET(
    _xlpm.keyschain, _xlfn.TEXTSPLIT(_xlpm.path, "."),
    _xlpm.getStep, _xlfn.LAMBDA(_xlpm.j,_xlpm.k,
      _xlfn.LET(
        _xlpm.inner, MID(_xlpm.j, 2, LEN(_xlpm.j)-2),
        _xlpm.pairs, _xlfn.TEXTSPLIT(_xlpm.inner, ","),
        _xlpm.match, _xlfn._xlws.FILTER(_xlpm.pairs, LEFT(_xlpm.pairs,LEN(_xlpm.k)+2)=""""&amp;_xlpm.k&amp;""":"),
        IF(COUNTA(_xlpm.match)=0, "", TRIM(MID(_xlpm.match, LEN(_xlpm.k)+3, LEN(_xlpm.match))))
      )
    ),
    _xlfn.REDUCE(_xlpm.json, _xlpm.keyschain, _xlpm.getStep)
  )
)(Q5,"MB")</f>
        <v>#VALUE!</v>
      </c>
      <c r="V7" t="s">
        <v>18</v>
      </c>
      <c r="W7" t="e" cm="1">
        <f t="array" ref="W7">_xlfn.LAMBDA(_xlpm.rng,
  _xlfn.LET(
    _xlpm.keys, INDEX(_xlpm.rng,,1),
    _xlpm.vals, _xlfn.DROP(_xlpm.rng,,1),
    _xlpm.validMask, _xlpm.keys&lt;&gt;"",
    _xlpm.cleanKeys, _xlfn._xlws.FILTER(_xlpm.keys, _xlpm.validMask),
    _xlpm.cleanVals, _xlfn._xlws.FILTER(_xlpm.vals, _xlpm.validMask),
    _xlpm.quotedKeys, _xlfn.MAP(_xlpm.cleanKeys, _xlfn.LAMBDA(_xlpm.k, """" &amp; TRIM(_xlpm.k) &amp; """")),
    _xlpm.quotedVals,
      _xlfn.MAP(_xlfn.SEQUENCE(ROWS(_xlpm.cleanVals)),
        _xlfn.LAMBDA(_xlpm.i,
          _xlfn.LET(
            _xlpm.rowVals, INDEX(_xlpm.cleanVals,_xlpm.i,),
            _xlpm.nonBlank, _xlfn._xlws.FILTER(_xlpm.rowVals, _xlpm.rowVals&lt;&gt;""),
            _xlpm.q, _xlfn.MAP(_xlpm.nonBlank, jsonQuote),
            _xlpm.arr, IF(COLUMNS(_xlpm.nonBlank)=1, INDEX(_xlpm.q,1), "[" &amp; _xlfn.TEXTJOIN(",",,_xlpm.q) &amp; "]"),
            _xlpm.arr
          )
        )
      ),
    _xlpm.pairs, _xlfn.MAP(_xlpm.quotedKeys, _xlpm.quotedVals, _xlfn.LAMBDA(_xlpm.k,_xlpm.v, _xlpm.k &amp; ":" &amp; _xlpm.v)),
    _xlpm.obj, "{" &amp; _xlfn.TEXTJOIN(",",,_xlpm.pairs) &amp; "}",
    _xlpm.obj
  )
)(B5:D8)</f>
        <v>#N/A</v>
      </c>
      <c r="X7" t="str" cm="1">
        <f t="array" ref="X7">_xlfn.LAMBDA(_xlpm.range,
  _xlfn.LET(
    _xlpm.keys, INDEX(_xlpm.range,,1),
    _xlpm.vals, INDEX(_xlpm.range,,2),
    _xlpm.nonEmptyRows, safeFilter(_xlfn.SEQUENCE(ROWS(_xlpm.keys)), _xlpm.keys&lt;&gt;""),
    _xlpm.safeKeys, IFERROR(INDEX(_xlpm.keys, _xlpm.nonEmptyRows), ""),
    _xlpm.safeVals, IFERROR(INDEX(_xlpm.vals, _xlpm.nonEmptyRows), ""),
    _xlpm.pairStrings, _xlfn.MAP(_xlpm.safeKeys, _xlpm.safeVals,
      _xlfn.LAMBDA(_xlpm.k,_xlpm.v, IF(_xlpm.k&lt;&gt;"", jsonQuote(_xlpm.k) &amp; ":" &amp; _xlpm.v, ""))
    ),
    _xlpm.joined, _xlfn.TEXTJOIN(",", TRUE, safeFilter(_xlpm.pairStrings, _xlpm.pairStrings&lt;&gt;"")),
    IF(_xlpm.joined="", "{}", "{" &amp; _xlpm.joined &amp; "}")
  )
)(_xlfn.VSTACK({"",""},{"",""}))</f>
        <v>{}</v>
      </c>
    </row>
    <row r="8" spans="1:24" x14ac:dyDescent="0.25">
      <c r="B8" t="s">
        <v>5</v>
      </c>
      <c r="C8">
        <v>2</v>
      </c>
      <c r="D8" t="e" cm="1">
        <f t="array" ref="D8">jsonGet(N9,"rem")</f>
        <v>#N/A</v>
      </c>
      <c r="J8">
        <v>5</v>
      </c>
      <c r="N8" t="str" cm="1">
        <f t="array" ref="N8">_xlfn.LAMBDA(_xlpm.span,_xlpm.partarr,_xlpm.extrahungry,
  _xlfn.LET(
    _xlpm.num, ROWS(_xlpm.partarr),
    _xlpm.initialState, jsonObject(
      _xlfn.HSTACK(
        _xlfn.VSTACK("rem","out","row"),
        _xlfn.VSTACK(_xlpm.span,"{}","0")
      )
    ),
    _xlpm.rowarray,
      _xlfn.MAKEARRAY(
        _xlpm.num, 1,
        _xlfn.LAMBDA(_xlpm.rown,_xlpm.ind,
          jsonObject(
            _xlfn.HSTACK(
              _xlfn.VSTACK("name","len","row"),
              _xlfn.VSTACK(INDEX(_xlpm.partarr,_xlpm.rown,1), INDEX(_xlpm.partarr,_xlpm.rown,2), _xlpm.rown)
            )
          )
        )
      ),
    _xlpm.finalState,
      _xlfn.REDUCE(
        _xlpm.initialState,
        _xlpm.rowarray,
        _xlfn.LAMBDA(_xlpm.state,_xlpm.partJson,
          _xlfn.LET(
            _xlpm.rem, VALUE(IFERROR(jsonGet(_xlpm.state,"rem"),"#MISSING:rem")),
            _xlpm.outJson, IFERROR(jsonGet(_xlpm.state,"out"),"#MISSING:out"),
            _xlpm.rownum, VALUE(IFERROR(jsonGet(_xlpm.partJson,"row"),"#MISSING:row")),
            _xlpm.pname, IFERROR(jsonGet(_xlpm.partJson,"name"),"#MISSING:name"),
            _xlpm.plen, VALUE(IFERROR(jsonGet(_xlpm.partJson,"len"),"#MISSING:len")),
            _xlpm.pcount, INT(_xlpm.rem/_xlpm.plen),
            _xlpm.newRem, _xlpm.rem - _xlpm.pcount*_xlpm.plen,
            _xlpm.overfill,
              IF(_xlpm.extrahungry * (_xlpm.rownum=_xlpm.num) * (_xlpm.newRem&gt;0) * (_xlpm.newRem&lt;_xlpm.plen), 1, 0),
            _xlpm.fcount, _xlpm.pcount + _xlpm.overfill,
            _xlpm.finalRem, _xlpm.rem - _xlpm.fcount*_xlpm.plen,
            _xlpm.newOut,
              IF(_xlpm.fcount&gt;0,
                 jsonSet(_xlpm.outJson,_xlpm.pname,_xlpm.fcount),
                 _xlpm.outJson
              ),
            jsonSet(
              jsonSet(
                jsonSet(_xlpm.state,"rem",_xlpm.finalRem),
                "out",_xlpm.newOut
              ),
              "row",_xlpm.rownum
            )
          )
        )
      ),
    _xlpm.finalState
  )
)(A1,B5:C8,TRUE)</f>
        <v>{"rem":0,"out":{},"row":4}</v>
      </c>
      <c r="Q8" t="b" cm="1">
        <f t="array" ref="Q8">_xlfn.LAMBDA(_xlpm.json,_xlpm.key,
  _xlfn.LET(
    _xlpm.parts, _xlfn.TEXTSPLIT(MID(_xlpm.json, 2, LEN(_xlpm.json)-2), ","),
    _xlpm.keys, _xlfn.TEXTBEFORE(_xlpm.parts, ":"),
    _xlpm.cleanKeys, _xlfn.MAP(_xlpm.keys, _xlfn.LAMBDA(_xlpm.k, TRIM(SUBSTITUTE(SUBSTITUTE(_xlpm.k, """", ""), " ", "")))),
    ISNUMBER(_xlfn.XMATCH(_xlpm.key, _xlpm.cleanKeys))
  )
)(Q7,"MB")</f>
        <v>1</v>
      </c>
      <c r="T8" t="s">
        <v>8</v>
      </c>
      <c r="U8" t="e" cm="1" vm="4">
        <f t="array" aca="1" ref="U8" ca="1" xml:space="preserve"> _xlfn.LAMBDA(_xlpm.json,
  _xlfn.LET(
    _xlpm.body, MID(_xlpm.json,2,LEN(_xlpm.json)-2),
    _xlpm.pairs, IF(_xlpm.body="", _xlfn.SEQUENCE(0), _xlfn.TEXTSPLIT(_xlpm.body, ",")),
    _xlfn.MAP(_xlpm.pairs, _xlfn.LAMBDA(_xlpm.p,
      _xlfn.LET(
        _xlpm.key, _xlfn.TEXTBEFORE(_xlpm.p, ":"),
        SUBSTITUTE(SUBSTITUTE(_xlpm.key,"""","")," ","")
      )
    ))
  )
)(Q3)</f>
        <v>#VALUE!</v>
      </c>
      <c r="V8" t="s">
        <v>19</v>
      </c>
      <c r="W8" t="str" cm="1">
        <f t="array" ref="W8">_xlfn.LAMBDA(_xlpm.oJson,_xlpm.oPath,_xlpm.oValue,
  _xlfn.LET(
    _xlpm.MAX_DEPTH, 10,
    _xlpm.walk,
      _xlfn.LAMBDA(_xlpm.J,_xlpm.P,_xlpm.V,_xlpm.depth,_xlpm.self,
        IF(_xlpm.depth&gt;_xlpm.MAX_DEPTH, "#STOP@"&amp;_xlpm.P,
          _xlfn.LET(
            _xlpm.set, jsonGetKeysAtLevel(_xlpm.J),
            _xlpm.parts, _xlfn.TEXTSPLIT(_xlpm.P,,".",TRUE),
            _xlpm.n, ROWS(_xlpm.parts),
            _xlpm.hasTail, _xlpm.n&gt;1,
            _xlpm.key, INDEX(_xlpm.parts,1),
            _xlpm.tail, IF(_xlpm.hasTail, _xlfn.TEXTJOIN(".",,_xlfn.DROP(_xlpm.parts,1)), ""),
            _xlpm.keys, IFERROR(INDEX(_xlpm.set,,1), _xlfn.MAKEARRAY(1,1,_xlfn.LAMBDA(_xlpm.r,_xlpm.c,""))),
            _xlpm.keypresent, SUM(--(_xlpm.keys=_xlpm.key))&gt;0,
            _xlpm.curRaw, IF(_xlpm.keypresent, jsonGet(_xlpm.J,_xlpm.key), ""),
            _xlpm.isObj, AND(_xlpm.keypresent, LEFT(TRIM(_xlpm.curRaw),1)="{"),
            _xlpm.newValQ, jsonQuote(_xlpm.V),
            _xlpm.result,
              _xlfn.SWITCH(TRUE,
                AND(_xlpm.hasTail, _xlpm.keypresent, _xlpm.isObj),
                  jsonObject(
                    arrayRepAdd(_xlpm.set,_xlpm.key,_xlpm.self(_xlpm.curRaw,_xlpm.tail,_xlpm.V,_xlpm.depth+1,_xlpm.self))
                  ),
                AND(_xlpm.hasTail, _xlpm.keypresent, NOT(_xlpm.isObj)),
                  jsonObject(
                    arrayRepAdd(_xlpm.set,_xlpm.key,nestedJsonBuild(_xlpm.tail,_xlpm.V))
                  ),
                _xlpm.hasTail,
                  jsonObject(
                    arrayRepAdd(_xlpm.set,_xlpm.key,nestedJsonBuild(_xlpm.tail,_xlpm.V))
                  ),
                AND(NOT(_xlpm.hasTail), _xlpm.keypresent),
                  jsonObject(arrayRepAdd(_xlpm.set,_xlpm.key,_xlpm.newValQ)),
                AND(NOT(_xlpm.hasTail), NOT(_xlpm.keypresent)),
                  jsonObject(_xlfn.VSTACK(_xlpm.set,_xlfn.HSTACK(_xlpm.key,_xlpm.newValQ))),
                ISNA(_xlpm.set),
                  "#SETERR:notObject@"&amp;_xlpm.P,
                TRUE,
                  "#SETERR:unhandled@"&amp;_xlpm.P
              ),
            _xlpm.result
          )
        )
      ),
    _xlpm.walk(_xlpm.oJson,_xlpm.oPath,_xlpm.oValue,0,_xlpm.walk)
  )
)(Q7,Q1,R1)</f>
        <v>{"RS":59,"BG":5,"QL":2,"MB":{"all":{"sideA":"no"}}}</v>
      </c>
      <c r="X8" t="str" cm="1">
        <f t="array" ref="X8">_xlfn.LAMBDA(_xlpm.oJson,_xlpm.oPath,_xlpm.oValue,
  _xlfn.LET(
    _xlpm.walk,
      _xlfn.LAMBDA(_xlpm.J,_xlpm.P,_xlpm.V,_xlpm.depth,_xlpm.self,
        IF(_xlpm.depth&gt;20, "STOP@"&amp;_xlpm.P,
          _xlfn.LET(
            _xlpm.set, jsonGetKeysAtLevel(_xlpm.J),
            _xlpm.parts, _xlfn.TEXTSPLIT(_xlpm.P,,".",TRUE),
            _xlpm.n, ROWS(_xlpm.parts),
            _xlpm.hasTail, _xlpm.n&gt;1,
            _xlpm.key, INDEX(_xlpm.parts,1),
            _xlpm.tail, IF(_xlpm.hasTail, _xlfn.TEXTJOIN(".",,_xlfn.DROP(_xlpm.parts,1)), ""),
            _xlpm.keys, IFERROR(INDEX(_xlpm.set,,1), _xlfn.MAKEARRAY(1,1,_xlfn.LAMBDA(_xlpm.r,_xlpm.c,""))),
            _xlpm.keypresent, SUM(--(_xlpm.keys=_xlpm.key))&gt;0,
            _xlpm.curRaw, IF(_xlpm.keypresent, jsonGet(_xlpm.J,_xlpm.key), NA()),
            _xlpm.isObj, AND(NOT(ISNA(_xlpm.curRaw)), LEFT(TRIM(_xlpm.curRaw),1)="{"),
            _xlpm.newValQ, jsonQuote(_xlpm.V),
            _xlpm.result,
              _xlfn.SWITCH(TRUE,
                AND(_xlpm.hasTail, _xlpm.keypresent, _xlpm.isObj),
                  jsonObject(arrayRepAdd(_xlpm.set, _xlpm.key, _xlpm.self(_xlpm.curRaw, _xlpm.tail, _xlpm.V,_xlpm.depth+1,_xlpm.self))),
                AND(_xlpm.hasTail, _xlpm.keypresent, NOT(_xlpm.isObj)),
                  jsonObject(arrayRepAdd(_xlpm.set, _xlpm.key, nestedJsonBuild(_xlpm.tail, _xlpm.V))),
                AND(NOT(_xlpm.hasTail), _xlpm.keypresent),
                  jsonObject(arrayRepAdd(_xlpm.set, _xlpm.key, _xlpm.newValQ)),
                _xlpm.hasTail,
                  jsonObject(arrayRepAdd(_xlpm.set, _xlpm.key, nestedJsonBuild(_xlpm.tail, _xlpm.V))),
                jsonObject(arrayRepAdd(_xlpm.set, _xlpm.key, _xlpm.newValQ))
              ),_xlpm.result)
        )
      ),
    _xlpm.walk(_xlpm.oJson,_xlpm.oPath,_xlpm.oValue,0,_xlpm.walk)
  )
)(Q7,Q1,R1)</f>
        <v>{"RS":59,"BG":5,"QL":2,"MB":{"all":{"sideA":"no"}}}</v>
      </c>
    </row>
    <row r="9" spans="1:24" x14ac:dyDescent="0.25">
      <c r="D9" t="e" cm="1">
        <f t="array" ref="D9:D10">between(D8,E11:E12)</f>
        <v>#N/A</v>
      </c>
      <c r="G9" t="str">
        <f>_xlfn.TEXTJOIN(";",FALSE,A1,0,"")</f>
        <v>0;0;</v>
      </c>
      <c r="N9" t="str" cm="1">
        <f t="array" ref="N9">_xlfn.LAMBDA(_xlpm.span,_xlpm.partarr,_xlop.extrahungry,
  _xlfn.LET(
    _xlpm.num, ROWS(_xlpm.partarr),
    _xlpm.initialState, jsonObject(
      _xlfn.HSTACK(
        _xlfn.VSTACK("rem","out","row"),
        _xlfn.VSTACK(_xlpm.span,"{ }","0")
      )
    ),
    _xlpm.rowarray,
      _xlfn.MAKEARRAY(
        _xlpm.num, 1,
        _xlfn.LAMBDA(_xlpm.rown,_xlpm.ind,
          jsonObject(
            _xlfn.HSTACK(
              _xlfn.VSTACK("name","len","row"),
              _xlfn.VSTACK(INDEX(_xlpm.partarr,_xlpm.rown,1), INDEX(_xlpm.partarr,_xlpm.rown,2), _xlpm.rown)
            )
          )
        )
      ),
    _xlpm.finalState,
      _xlfn.REDUCE(
        _xlpm.initialState,
        _xlpm.rowarray,
        _xlfn.LAMBDA(_xlpm.state,_xlpm.partJson,
          _xlfn.LET(
            _xlpm.rem, VALUE(IFERROR(jsonGet(_xlpm.state,"rem"),"#BROKEN:rem")),
            _xlpm.outJson, IFERROR(jsonGet(_xlpm.state,"out"),"#MISSING:out"),
            _xlpm.rownum, VALUE(IFERROR(jsonGet(_xlpm.state,"row"),"#BROKEN:row")),
            _xlpm.pname, IFERROR(jsonGet(_xlpm.partJson,"name"),"#BROKEN:name"),
            _xlpm.plen, VALUE(IFERROR(jsonGet(_xlpm.partJson,"len"),"#BROKEN:len")),
            _xlpm.lastpart, IFERROR(jsonGet(_xlpm.state,"lastpart"),"#BROKEN:lastpart"),
            _xlpm.lenlpart, IFERROR(jsonGet(_xlpm.state,"lenlpart"),"#BROKEN:lenlpart"),
            _xlpm.pcount, INT(_xlpm.rem/_xlpm.plen),
            _xlpm.newRem, _xlpm.rem - _xlpm.pcount*_xlpm.plen,
            _xlpm.fcount, IF(AND(NOT(ISNA(additionalconfig)), _xlpm.newRem&lt;0, _xlpm.pcount&gt;0), _xlpm.pcount-1, _xlpm.pcount),
            _xlpm.finalRem, _xlpm.rem - _xlpm.fcount*_xlpm.plen,
            _xlpm.newOut,
              IF(_xlfn.NUMBERVALUE(_xlpm.fcount)&gt;0,
                 IFERROR(jsonSet(_xlpm.outJson,_xlpm.pname,_xlpm.fcount),"#SETERR:newOut:"&amp;_xlpm.pname&amp;":"&amp;_xlpm.fcount),
                 _xlpm.outJson
              ),
            IFERROR(
              jsonSet(
                IFERROR(jsonSet(_xlpm.state,"rem",_xlpm.finalRem),"#SETERR:rem"),
                "out",_xlpm.newOut
              ),
              "#SETERR:out"
            )
          )
        )
      ),
    _xlpm.additionalconfig, IF(_xlfn.ISOMITTED(_xlpm.extrahungry),_xlpm.finalState,jsonJoin(jsonGet(_xlpm.finalState,"out"),_xlfn._xlws.FILTER(INDEX(_xlpm.extrahungry,,1),between(jsonGet(_xlpm.finalState,"rem"),INDEX(_xlpm.extrahungry,,2))),2)),
    _xlpm.additionalconfig
  )
)(A1,B5:C6,D11:E12)</f>
        <v>{"MB":0,"RS":1}</v>
      </c>
      <c r="Q9" t="b" cm="1">
        <f t="array" ref="Q9">_xlfn.LAMBDA(_xlpm.json,_xlpm.path,
  _xlfn.LET(
    _xlpm.keys, _xlfn.TEXTSPLIT(_xlpm.path, "."),
    _xlfn.REDUCE(TRUE,
      _xlpm.keys,
      _xlfn.LAMBDA(_xlpm.state,_xlpm.key,
        IF(NOT(_xlpm.state), FALSE,
          _xlfn.LET(
            _xlpm.entries, _xlfn.TEXTSPLIT(MID(_xlpm.json, 2, LEN(_xlpm.json)-2), ","),
            _xlpm.entryKeys, _xlfn.TEXTBEFORE(_xlpm.entries, ":"),
            _xlpm.cleanKeys, _xlfn.MAP(_xlpm.entryKeys, _xlfn.LAMBDA(_xlpm.k, TRIM(SUBSTITUTE(SUBSTITUTE(_xlpm.k, """", ""), " ", "")))),
            _xlpm.found, ISNUMBER(_xlfn.XMATCH(_xlpm.key, _xlpm.cleanKeys)),
            _xlpm.json, IF(_xlpm.found, INDEX(_xlfn.TEXTAFTER(_xlpm.entries, ":"), _xlfn.XMATCH(_xlpm.key, _xlpm.cleanKeys)), ""),
            _xlpm.found
          )
        )
      )
    )
  )
)(Q5,"MB")</f>
        <v>1</v>
      </c>
      <c r="T9" t="s">
        <v>7</v>
      </c>
      <c r="U9" t="e" cm="1" vm="5">
        <f t="array" aca="1" ref="U9" ca="1" xml:space="preserve"> _xlfn.LAMBDA(_xlpm.json,
  _xlfn.LET(
    _xlpm.body, MID(_xlpm.json, 2, LEN(_xlpm.json) - 2),
    _xlpm.pairs, IF(_xlpm.body = "", {"",""}, _xlfn.TEXTSPLIT(_xlpm.body, ",")),
    _xlpm.result, _xlfn.REDUCE(
      {"",""}, _xlpm.pairs,
      _xlfn.LAMBDA(_xlpm.acc,_xlpm.p,
        _xlfn.LET(
          _xlpm.parts, _xlfn.TEXTSPLIT(_xlpm.p, ":"),
          _xlpm.key, TRIM(SUBSTITUTE(INDEX(_xlpm.parts, 1), """", "")),
          _xlpm.val, TRIM(SUBSTITUTE(INDEX(_xlpm.parts, 2), """", "")),
          _xlfn.VSTACK(_xlpm.acc, _xlfn.HSTACK(_xlpm.key, _xlpm.val))
        )
      )
    ),
  _xlfn.DROP(_xlpm.result,1)
)
)(Q5)</f>
        <v>#VALUE!</v>
      </c>
      <c r="V9" t="s">
        <v>21</v>
      </c>
      <c r="W9" t="str" cm="1">
        <f t="array" ref="W9:X9">_xlfn.LAMBDA(_xlpm.arr,_xlpm.rows,
  _xlfn.LET(
    _xlpm.dropped, IFERROR(_xlfn.DROP(_xlpm.arr, _xlpm.rows),_xlfn.MAKEARRAY(1, COLUMNS(_xlpm.arr), _xlfn.LAMBDA(_xlpm.r,_xlpm.c,""))),
    _xlpm.out, _xlpm.dropped,
    _xlpm.out
  )
)(_xlfn.ANCHORARRAY(W10),1)</f>
        <v/>
      </c>
      <c r="X9" t="str">
        <v/>
      </c>
    </row>
    <row r="10" spans="1:24" x14ac:dyDescent="0.25">
      <c r="D10" t="e">
        <v>#N/A</v>
      </c>
      <c r="G10" t="str" cm="1">
        <f t="array" ref="G10:G11" xml:space="preserve"> _xlfn.BYROW(B5:C6,_xlfn.LAMBDA(_xlpm.row,_xlfn.TEXTJOIN(",",TRUE,_xlpm.row)))</f>
        <v>MB,120</v>
      </c>
      <c r="I10" t="s">
        <v>2</v>
      </c>
      <c r="N10" t="e" cm="1">
        <f t="array" ref="N10">_xlfn.LAMBDA(_xlpm.span,_xlpm.partarr,_xlop.additionalconfig,
  _xlfn.LET(
    _xlpm.num, ROWS(_xlpm.partarr),
    _xlpm.initialState, jsonObject(
      _xlfn.HSTACK(
        _xlfn.VSTACK("rem","out","row"),
        _xlfn.VSTACK(_xlpm.span,"{ }","0")
      )
    ),
    _xlpm.rowarray,
      _xlfn.MAKEARRAY(
        _xlpm.num, 1,
        _xlfn.LAMBDA(_xlpm.rown,_xlpm._,
          jsonObject(
            _xlfn.HSTACK(
              _xlfn.VSTACK("name","len","row"),
              _xlfn.VSTACK(INDEX(_xlpm.partarr,_xlpm.rown,1), INDEX(_xlpm.partarr,_xlpm.rown,2), _xlpm.rown)
            )
          )
        )
      ),
    _xlpm.finalState,
      _xlfn.REDUCE(
        _xlpm.initialState,
        _xlpm.rowarray,
        _xlfn.LAMBDA(_xlpm.state,_xlpm.partJson,
          _xlfn.LET(
            _xlpm.rem, VALUE(jsonGet(_xlpm.state,"rem")),
            _xlpm.outJson, jsonGet(_xlpm.state,"out"),
            _xlpm.rownum, VALUE(jsonGet(_xlpm.partJson,"row")),
            _xlpm.pname, jsonGet(_xlpm.partJson,"name"),
            _xlpm.plen, VALUE(jsonGet(_xlpm.partJson,"len")),
            _xlpm.pcount, INT(_xlpm.rem/_xlpm.plen),
            _xlpm.finalRem, _xlpm.rem - _xlpm.pcount*_xlpm.plen,
            _xlpm.newOut,
              IF(_xlpm.pcount&gt;0,
                 jsonSet(_xlpm.outJson,_xlpm.pname,_xlpm.pcount),
                 _xlpm.outJson
              ),
            _xlpm.newState,
              jsonSet(
                jsonSet(_xlpm.state,"rem",_xlpm.finalRem),
                "out",_xlpm.newOut
              ),
            IF(
              _xlfn.ISOMITTED(_xlpm.additionalconfig),
              _xlpm.newState,
              _xlfn.LET(
                _xlpm.numConfigs, ROWS(_xlpm.additionalconfig),
                _xlpm.applied,
                  _xlfn.REDUCE(
                    _xlpm.newState,
                    _xlfn.SEQUENCE(_xlpm.numConfigs),
                    _xlfn.LAMBDA(_xlpm.strng,_xlpm.countof,
                      _xlfn.LET(
                        _xlpm.cfgJson, INDEX(_xlpm.additionalconfig,_xlpm.countof,1),
                        _xlpm.cfgSet, INDEX(_xlpm.additionalconfig,_xlpm.countof,2),
                        IF(
                          between(_xlpm.finalRem,_xlpm.cfgSet),
                          jsonSet(_xlpm.strng,"out",jsonJoin(jsonGet(_xlpm.strng,"out"),_xlpm.cfgJson,2)),
                          _xlpm.strng
                        )
                      )
                    )
                  ),
                _xlpm.applied
              )
            )
          )
        )
      ),
    _xlpm.finalState
  )
)(A1,B5:C6,D11:E12)</f>
        <v>#N/A</v>
      </c>
      <c r="Q10" t="e" cm="1">
        <f t="array" ref="Q10">_xlfn.LAMBDA(_xlpm.json,_xlpm.setKey,_xlpm.setValue,
  _xlfn.LET(
    _xlpm.items, _xlfn.TEXTSPLIT(MID(_xlpm.json, 2, LEN(_xlpm.json)-2), ","),
    _xlpm.keys, _xlfn.TEXTBEFORE(_xlpm.items, ":"),
    _xlpm.values, _xlfn.TEXTAFTER(_xlpm.items, ":"),
    _xlpm.cleanKeys, _xlfn.MAP(_xlpm.keys, _xlfn.LAMBDA(_xlpm.k, TRIM(SUBSTITUTE(SUBSTITUTE(_xlpm.k, """", ""), " ", "")))),
    _xlpm.newItems,
      IF(
        ISNUMBER(_xlfn.XMATCH(_xlpm.setKey, _xlpm.cleanKeys)),
        _xlfn.MAP(_xlpm.cleanKeys, _xlpm.values, _xlfn.LAMBDA(_xlpm.k,_xlpm.v,
          IF(_xlpm.k=_xlpm.setKey,
            """" &amp; _xlpm.k &amp; """:" &amp; IF(ISNUMBER(_xlpm.setValue), _xlpm.setValue, """" &amp; _xlpm.setValue &amp; """"),
            """" &amp; _xlpm.k &amp; """:" &amp; _xlpm.v
          )
        )),
        _xlfn.VSTACK(
          _xlfn.MAP(_xlpm.cleanKeys, _xlpm.values, _xlfn.LAMBDA(_xlpm.k,_xlpm.v, """" &amp; _xlpm.k &amp; """:" &amp; _xlpm.v)),
          """" &amp; _xlpm.setKey &amp; """:" &amp; IF(ISNUMBER(_xlpm.setValue), _xlpm.setValue, """" &amp; _xlpm.setValue &amp; """")
        )
      ),
    "{" &amp; _xlfn.TEXTJOIN(",", TRUE, _xlpm.newItems) &amp; "}"
  )
)(Q5, "side", Q7)</f>
        <v>#N/A</v>
      </c>
      <c r="T10" t="s">
        <v>6</v>
      </c>
      <c r="U10" t="e" cm="1" vm="5">
        <f t="array" aca="1" ref="U10" ca="1" xml:space="preserve"> _xlfn.LAMBDA(_xlpm.json,
  _xlfn.LET(
    _xlpm.flatten,
      _xlfn.LAMBDA(_xlpm.j,_xlpm.prefix,
        _xlfn.LET(
          _xlpm.body, MID(_xlpm.j, 2, LEN(_xlpm.j) - 2),
          _xlpm.pairs, IF(_xlpm.body = "", {"",""}, _xlfn.TEXTSPLIT(_xlpm.body, ",")),
          _xlfn.REDUCE(
            {"",""}, _xlpm.pairs,
            _xlfn.LAMBDA(_xlpm.acc,_xlpm.p,
              _xlfn.LET(
                _xlpm.parts, _xlfn.TEXTSPLIT(_xlpm.p, ":"),
                _xlpm.rawKey, TRIM(SUBSTITUTE(INDEX(_xlpm.parts, 1), """", "")),
                _xlpm.fullKey, IF(_xlpm.prefix = "", _xlpm.rawKey, _xlpm.prefix &amp; "." &amp; _xlpm.rawKey),
                _xlpm.rawVal, TRIM(INDEX(_xlpm.parts, 2)),
                _xlpm.val, SUBSTITUTE(_xlpm.rawVal, """", ""),
                _xlpm.isNested, LEFT(_xlpm.val, 1) = "{",
                _xlpm.next, IF(
                  _xlpm.isNested,
                  flatten(_xlpm.val, _xlpm.fullKey),
                  _xlfn.HSTACK(_xlpm.fullKey, _xlpm.val)
                ),
                IF(_xlpm.isNested, _xlfn.VSTACK(_xlpm.acc, _xlpm.next), _xlfn.VSTACK(_xlpm.acc, _xlpm.next))
              )
            )
          )
        )
      ),
    _xlfn.DROP(_xlpm.flatten(_xlpm.json, ""),1)
  )
)(Q5)</f>
        <v>#VALUE!</v>
      </c>
      <c r="V10" t="s">
        <v>20</v>
      </c>
      <c r="W10" t="str" cm="1">
        <f t="array" ref="W10:X10" xml:space="preserve"> _xlfn.LAMBDA(_xlpm.arr,_xlpm.include,
  _xlfn.LET(
    _xlpm.cols, COLUMNS(_xlpm.arr),
    _xlpm.safe, IFERROR(_xlfn._xlws.FILTER(_xlpm.arr, _xlpm.include), _xlfn.MAKEARRAY(1, _xlpm.cols, _xlfn.LAMBDA(_xlpm.r,_xlpm.c,""))),
    _xlpm.safe
  )
)(U18:V25,U18:U25&lt;&gt;"")</f>
        <v/>
      </c>
      <c r="X10" s="4" t="str">
        <v/>
      </c>
    </row>
    <row r="11" spans="1:24" x14ac:dyDescent="0.25">
      <c r="B11" t="s">
        <v>0</v>
      </c>
      <c r="C11">
        <v>0</v>
      </c>
      <c r="D11" t="str" cm="1">
        <f t="array" ref="D11">jsonObject(B11:C12)</f>
        <v>{"MB":0,"RS":1}</v>
      </c>
      <c r="E11" t="s">
        <v>40</v>
      </c>
      <c r="G11" t="str">
        <v>RS,59</v>
      </c>
      <c r="N11" t="str" cm="1">
        <f t="array" ref="N11">_xlfn.LAMBDA(_xlpm.span,_xlpm.partarr,_xlpm.extrahungry,
  _xlfn.LET(
    _xlpm.num, ROWS(_xlpm.partarr),
    _xlpm.initialState, jsonObject(
      _xlfn.HSTACK(
        _xlfn.VSTACK("rem","out","row","prevName","prevLen"),
        _xlfn.VSTACK(_xlpm.span,"{ }","0","","0")
      )
    ),
    _xlpm.rowarray,
      _xlfn.MAKEARRAY(
        _xlpm.num, 1,
        _xlfn.LAMBDA(_xlpm.rown,_xlpm.ind,
          jsonObject(
            _xlfn.HSTACK(
              _xlfn.VSTACK("name","len","row"),
              _xlfn.VSTACK(INDEX(_xlpm.partarr,_xlpm.rown,1), INDEX(_xlpm.partarr,_xlpm.rown,2), _xlpm.rown)
            )
          )
        )
      ),
    _xlpm.finalState,
      _xlfn.REDUCE(
        _xlpm.initialState,
        _xlpm.rowarray,
        _xlfn.LAMBDA(_xlpm.state,_xlpm.partJson,
          _xlfn.LET(
            _xlpm.rem, VALUE(jsonGet(_xlpm.state,"rem")),
            _xlpm.outJson, jsonGet(_xlpm.state,"out"),
            _xlpm.rownum, VALUE(jsonGet(_xlpm.partJson,"row")),
            _xlpm.pname, jsonGet(_xlpm.partJson,"name"),
            _xlpm.plen, VALUE(jsonGet(_xlpm.partJson,"len")),
            _xlpm.prevName, jsonGet(_xlpm.state,"prevName"),
            _xlpm.prevLen, VALUE(jsonGet(_xlpm.state,"prevLen")),
            _xlpm.pcount, INT(_xlpm.rem/_xlpm.plen),
            _xlpm.newRem, _xlpm.rem - _xlpm.pcount*_xlpm.plen,
            _xlpm.fcount, _xlpm.pcount,
            _xlpm.finalRem, _xlpm.newRem,
           _xlpm.baseOut,
  IF(_xlpm.fcount&gt;0,
     jsonSet(_xlpm.outJson,_xlpm.pname,_xlpm.fcount),
     _xlpm.outJson
  ),
_xlpm.hungryOut,
  IF(
    AND(
      _xlpm.extrahungry,
      _xlpm.rownum=_xlpm.num,
      _xlpm.finalRem&gt;0,
      _xlpm.finalRem+_xlpm.plen &lt; _xlpm.prevLen/2,
      _xlpm.prevName&lt;&gt;""
    ),
    jsonSet(
      _xlpm.baseOut,
      _xlpm.prevName,
      VALUE(IFERROR(jsonGet(_xlpm.baseOut,_xlpm.prevName),0)) + 1
    ),
    _xlpm.baseOut
  ),
jsonSet(
  jsonSet(
    jsonSet(
      jsonSet(
        jsonSet(_xlpm.state,"rem",_xlpm.finalRem),
        "out",_xlpm.hungryOut
      ),
      "row",_xlpm.rownum
    ),
    "prevName",_xlpm.pname
  ),
  "prevLen",_xlpm.plen
)
          )
        )
      ),
    _xlpm.finalState
  )
)(A1,B5:C8,FALSE)</f>
        <v>{"row":4,"prevName":"QL","prevLen":2}</v>
      </c>
      <c r="V11" t="s">
        <v>22</v>
      </c>
      <c r="W11" t="str" cm="1">
        <f t="array" ref="W11">_xlfn.LAMBDA(_xlpm.val,
  _xlfn.LET(
    _xlpm.s, TRIM(_xlpm.val),
    _xlpm.isQuoted, _xlfn.REGEXTEST(_xlpm.s, "^""(?:.*)""$"),
    _xlpm.stripped, IF(_xlpm.isQuoted, MID(_xlpm.s,2,LEN(_xlpm.s)-2), _xlpm.s),
    _xlpm.unescaped, _xlfn.REGEXREPLACE(_xlpm.stripped, "'", """"),
    _xlpm.unescaped
  )
)(X5)</f>
        <v>jason is a "name" not a data type</v>
      </c>
    </row>
    <row r="12" spans="1:24" x14ac:dyDescent="0.25">
      <c r="B12" t="s">
        <v>1</v>
      </c>
      <c r="C12">
        <v>1</v>
      </c>
      <c r="D12" t="str" cm="1">
        <f t="array" ref="D12">jsonObject(B13:C14)</f>
        <v>{"MB":1,"RS":0}</v>
      </c>
      <c r="E12" s="8" t="s">
        <v>41</v>
      </c>
      <c r="M12" t="s">
        <v>38</v>
      </c>
      <c r="N12" t="str" cm="1">
        <f t="array" ref="N12">jsonObject(B7:C7)</f>
        <v>{"BG":5}</v>
      </c>
      <c r="O12" t="str" cm="1">
        <f t="array" ref="O12" xml:space="preserve"> _xlfn.LAMBDA(_xlpm.json,_xlpm.path,
  _xlfn.LET(
    _xlpm.DBQ, CHAR(34),
    _xlpm.keys, _xlfn.TEXTSPLIT(_xlpm.path, "."),
    _xlpm.getStep,
      _xlfn.LAMBDA(_xlpm.j,_xlpm.k,
        _xlfn.LET(
          _xlpm.quotedKey, _xlpm.DBQ &amp; _xlpm.k &amp; _xlpm.DBQ,
          _xlpm.pattern, _xlpm.quotedKey &amp; "\s*:\s*(\{[^{}]*\}|\[[^\]]*\]|" &amp; _xlpm.DBQ &amp; "[^" &amp; _xlpm.DBQ &amp; "]*" &amp; _xlpm.DBQ &amp; "|[^,}\]]+)",
          _xlpm.match, _xlfn.REGEXEXTRACT(_xlpm.j, _xlpm.pattern),
          IF(_xlpm.match = "", "", _xlpm.match)
        )
      ),
    _xlfn.REDUCE(_xlpm.json, _xlpm.keys, _xlpm.getStep)
  )
)(Q5,"MB")</f>
        <v>"MB":120</v>
      </c>
      <c r="P12" t="str" cm="1">
        <f t="array" ref="P12" xml:space="preserve"> _xlfn.LAMBDA(_xlpm.json,_xlpm.path,
  _xlfn.LET(
    _xlpm.DBQ, CHAR(34),
    _xlpm.keys, _xlfn.TEXTSPLIT(_xlpm.path, "."),
    _xlpm.getStep,
      _xlfn.LAMBDA(_xlpm.j,_xlpm.k,
        _xlfn.LET(
          _xlpm.quotedKey, _xlpm.DBQ &amp; _xlpm.k &amp; _xlpm.DBQ,
          _xlpm.pattern, _xlpm.quotedKey &amp; "\s*:\s*(\{[^{}]*\}|\[[^\]]*\]|" &amp; _xlpm.DBQ &amp; "[^" &amp; _xlpm.DBQ &amp; "]*" &amp; _xlpm.DBQ &amp; "|[^,}\]]+)",
          _xlpm.match, _xlfn.REGEXEXTRACT(_xlpm.j, _xlpm.pattern),
          IF(_xlpm.match = "", "", _xlpm.match)
        )
      ),
    _xlfn.REDUCE(_xlpm.json, _xlpm.keys, _xlpm.getStep)
  )
)(Q4,"MB.all")</f>
        <v>"all":{"sideA":"yes"</v>
      </c>
      <c r="S12" t="str" cm="1">
        <f t="array" ref="S12">_xlfn.TEXTSPLIT(T14,"-")</f>
        <v>(25,36),(36,80)</v>
      </c>
      <c r="V12" t="s">
        <v>24</v>
      </c>
      <c r="W12" t="e" cm="1" vm="6">
        <f t="array" aca="1" ref="W12" ca="1">_xlfn.LAMBDA(_xlpm.arr,_xlpm.key,_xlpm.val, _xlfn.LET(
   _xlpm.kcol, INDEX(_xlpm.arr,,1),
   _xlpm.vcol, INDEX(_xlpm.arr,,2),
   _xlpm.newarr, safeFilter(_xlpm.arr,_xlpm.kcol&lt;&gt;_xlpm.key),
   _xlfn.VSTACK(_xlpm.newarr,_xlfn.HSTACK(_xlpm.key,jsonQuote(_xlpm.val)))
)
)(_xlfn.ANCHORARRAY(U10),"MB",5)</f>
        <v>#VALUE!</v>
      </c>
    </row>
    <row r="13" spans="1:24" x14ac:dyDescent="0.25">
      <c r="B13" t="s">
        <v>0</v>
      </c>
      <c r="C13">
        <v>1</v>
      </c>
      <c r="E13" t="s">
        <v>42</v>
      </c>
      <c r="M13" t="b" cm="1">
        <f t="array" ref="M13">SUM(--(M10:M11="frank"))&gt;0</f>
        <v>0</v>
      </c>
      <c r="N13" t="str" cm="1">
        <f t="array" ref="N13">jsonSet(N12,"nl.m7.r",1)</f>
        <v>{"BG":5,"nl":{"m7":{"r":1}}}</v>
      </c>
      <c r="O13" t="str" cm="1">
        <f t="array" ref="O13" xml:space="preserve"> _xlfn.LAMBDA(_xlpm.json,_xlpm.path,
  _xlfn.LET(
    _xlpm.keyschain, _xlfn.TEXTSPLIT(_xlpm.path, "."),
    _xlpm.getStep, _xlfn.LAMBDA(_xlpm.j,_xlpm.k,
      _xlfn.LET(
        _xlpm.inner, MID(_xlpm.j, 2, LEN(_xlpm.j)-2),
        _xlpm.pairs, _xlfn.TEXTSPLIT(_xlpm.inner, ","),
        _xlpm.filtered, _xlfn._xlws.FILTER(_xlpm.pairs, LEFT(_xlpm.pairs, LEN(_xlpm.k)+2) = """" &amp; _xlpm.k &amp; """:" ),
        _xlpm.match, IFERROR(INDEX(_xlpm.filtered, 1), ""),
        _xlpm.value, IF(_xlpm.match = "", "",
          _xlfn.LET(
            _xlpm.parts, _xlfn.TEXTSPLIT(_xlpm.match, ":"),
            _xlpm.val, TRIM(INDEX(_xlpm.parts, 2)),
            _xlpm.val
          )
        ),
        _xlpm.value
      )
    ),
    _xlfn.REDUCE(_xlpm.json, _xlpm.keyschain, _xlpm.getStep)
  )
)(Q5,"MB")</f>
        <v/>
      </c>
      <c r="P13" t="str" cm="1">
        <f t="array" ref="P13" xml:space="preserve"> _xlfn.LAMBDA(_xlpm.json,_xlpm.path,
  _xlfn.LET(
    _xlpm.keys, _xlfn.TEXTSPLIT(_xlpm.path, "."),
    _xlpm.getStep, _xlfn.LAMBDA(_xlpm.j,_xlpm.k,
      _xlfn.LET(
        _xlpm.inner, MID(_xlpm.j, 2, LEN(_xlpm.j) - 2),
        _xlpm.pairs, _xlfn.TEXTSPLIT(_xlpm.inner, ","),
        _xlpm.match, _xlfn._xlws.FILTER(_xlpm.pairs, LEFT(_xlpm.pairs, LEN(_xlpm.k) + 2) = """" &amp; _xlpm.k &amp; """:"),
        _xlpm.part, IFERROR(INDEX(_xlpm.match, 1), ""),
        _xlpm.valSplit, _xlfn.TEXTSPLIT(_xlpm.part, ":"),
        _xlpm.rawVal, IF(COUNTA(_xlpm.valSplit) = 2, INDEX(_xlpm.valSplit, 2), ""),
        TRIM(SUBSTITUTE(_xlpm.rawVal, """", ""))
      )
    ),
    _xlfn.REDUCE(_xlpm.json, _xlpm.keys, _xlpm.getStep)
  )
)(Q4,"MB.all.sideA")</f>
        <v/>
      </c>
      <c r="S13" t="str" cm="1">
        <f t="array" ref="S13:T13">_xlfn.REGEXEXTRACT(T14,"([-0-9]+(?:\.[-0-9]+)?)?,([-0-9]+(?:\.[-0-9]+)?)?",2)</f>
        <v>25</v>
      </c>
      <c r="T13" t="str">
        <v>36</v>
      </c>
      <c r="V13" t="s">
        <v>28</v>
      </c>
      <c r="W13" t="str" cm="1">
        <f t="array" ref="W13" xml:space="preserve"> _xlfn.LAMBDA(_xlpm.p,_xlpm.v,
  _xlfn.LET(
    _xlpm.parts, _xlfn.TEXTSPLIT(_xlpm.p,,".",TRUE),
    IF(OR(_xlpm.p="", ROWS(_xlpm.parts)=0),
      jsonQuote(_xlpm.v),
      _xlfn.LET(
        _xlpm.rev, INDEX(_xlpm.parts, _xlfn.SEQUENCE(ROWS(_xlpm.parts),1,ROWS(_xlpm.parts),-1)),
        _xlfn.REDUCE(
          jsonQuote(_xlpm.v),
          _xlpm.rev,
          _xlfn.LAMBDA(_xlpm.acc,_xlpm.layer, jsonObject(_xlfn.HSTACK(_xlpm.layer, _xlpm.acc)))
        )
      )
    )
  )
)(Q1,R1)</f>
        <v>{"MB":{"all":{"sideA":"no"}}}</v>
      </c>
    </row>
    <row r="14" spans="1:24" x14ac:dyDescent="0.25">
      <c r="B14" t="s">
        <v>1</v>
      </c>
      <c r="C14">
        <v>0</v>
      </c>
      <c r="N14" t="str" cm="1">
        <f t="array" ref="N14">_xlfn.LAMBDA(_xlpm.span,_xlpm.partarr,_xlpm.extrahungry,
  _xlfn.LET(
    _xlpm.num, ROWS(_xlpm.partarr),
    _xlpm.initialState, jsonObject(
      _xlfn.HSTACK(
        _xlfn.VSTACK("rem","out","row","prevName","prevLen"),
        _xlfn.VSTACK(_xlpm.span,"{}",0,"","0")
      )
    ),
    _xlpm.rowarray,
      _xlfn.MAKEARRAY(
        _xlpm.num,1,
        _xlfn.LAMBDA(_xlpm.rown,_xlpm._,
          jsonObject(
            _xlfn.HSTACK(
              _xlfn.VSTACK("name","len","row"),
              _xlfn.VSTACK(INDEX(_xlpm.partarr,_xlpm.rown,1), INDEX(_xlpm.partarr,_xlpm.rown,2), _xlpm.rown)
            )
          )
        )
      ),
    _xlpm.finalState,
      _xlfn.REDUCE(
        _xlpm.initialState,
        _xlpm.rowarray,
        _xlfn.LAMBDA(_xlpm.state,_xlpm.partJson,
          _xlfn.LET(
            _xlpm.rem, VALUE(jsonGet(_xlpm.state,"rem")),
            _xlpm.outJson, IFERROR(jsonGet(_xlpm.state,"out"),"OUTERROR"),
            _xlpm.prevName, jsonGet(_xlpm.state,"prevName"),
            _xlpm.prevLen, VALUE(jsonGet(_xlpm.state,"prevLen")),
            _xlpm.rownum, VALUE(jsonGet(_xlpm.partJson,"row")),
            _xlpm.pname, jsonGet(_xlpm.partJson,"name"),
            _xlpm.plen, VALUE(jsonGet(_xlpm.partJson,"len")),
            _xlpm.pcount, INT(_xlpm.rem/_xlpm.plen),
            _xlpm.newRem, _xlpm.rem - _xlpm.pcount*_xlpm.plen,
            _xlpm.overfill,
              IF(
                _xlpm.extrahungry *
                (_xlpm.newRem&gt;0) *
                (_xlpm.newRem&lt;_xlpm.plen) *
                (_xlpm.newRem+_xlpm.plen &lt; _xlpm.prevLen/2),
                1, 0
              ),
            _xlpm.fcount, _xlpm.pcount + _xlpm.overfill,
            _xlpm.finalRem, _xlpm.rem - _xlpm.fcount*_xlpm.plen,
            _xlpm.newOut,
              IF(_xlpm.fcount&gt;0,
                 jsonSet(_xlpm.outJson,_xlpm.pname,_xlpm.fcount),
                 _xlpm.outJson
              ),
            jsonSet(
              jsonSet(
                jsonSet(
                  jsonSet(
                    jsonSet(_xlpm.state,"rem",_xlpm.finalRem),
                    "out",_xlpm.newOut
                  ),
                  "row",_xlpm.rownum
                ),
                "prevName",_xlpm.pname
              ),
              "prevLen",_xlpm.plen
            )
          )
        )
      ),
    _xlpm.finalState
  )
)(A1,B5:C8,FALSE)</f>
        <v>{"row":4,"prevName":"QL","prevLen":2}</v>
      </c>
      <c r="S14">
        <v>36</v>
      </c>
      <c r="T14" s="7" t="s">
        <v>43</v>
      </c>
      <c r="V14" t="s">
        <v>29</v>
      </c>
      <c r="W14" t="str" cm="1">
        <f t="array" ref="W14">_xlfn.LAMBDA(_xlpm.oJson,_xlpm.oPath,
  _xlfn.LET(
    _xlpm.walk,
      _xlfn.LAMBDA(_xlpm.J,_xlpm.P,_xlpm.self,_xlpm.depth,
        IF(_xlpm.depth&gt;20,"STOP@"&amp;_xlpm.P,
          _xlfn.LET(
            _xlpm.set, jsonGetKeysAtLevel(_xlpm.J),
            _xlpm.parts, _xlfn.TEXTSPLIT(_xlpm.P,,".",TRUE),
            _xlpm.n, ROWS(_xlpm.parts),
            _xlpm.hasTail, _xlpm.n&gt;1,
            _xlpm.key, INDEX(_xlpm.parts,1),
            _xlpm.tail, IF(_xlpm.hasTail, _xlfn.TEXTJOIN(".",,_xlfn.DROP(_xlpm.parts,1)), ""),
            _xlpm.keys, IFERROR(INDEX(_xlpm.set,,1), _xlfn.MAKEARRAY(1,1,_xlfn.LAMBDA(_xlpm.r,_xlpm.c,""))),
            _xlpm.keypresent, SUM(--(_xlpm.keys=_xlpm.key))&gt;0,
            _xlpm.curRaw, IF(_xlpm.keypresent,jsonGet(_xlpm.J,_xlpm.key),NA()),
            _xlpm.isObj, AND(NOT(ISNA(_xlpm.curRaw)),LEFT(TRIM(_xlpm.curRaw),1)="{"),
            _xlpm.result,
              _xlfn.SWITCH(TRUE,
                AND(_xlpm.hasTail,_xlpm.keypresent,_xlpm.isObj),
                  jsonObject(arrayRepAdd(_xlpm.set,_xlpm.key,_xlpm.self(_xlpm.curRaw,_xlpm.tail,_xlpm.self,_xlpm.depth+1))),
                NOT(_xlpm.hasTail),
                  jsonObject(safeFilter(_xlpm.set,_xlpm.keys&lt;&gt;_xlpm.key)),
                _xlpm.J
              ),_xlpm.result)
        )
      ),
    _xlpm.walk(_xlpm.oJson,_xlpm.oPath,_xlpm.walk,0)
  )
)(Q2,Q1)</f>
        <v>{"HD":["r",7,5,m],"RA":["a",1],"L4":"string","simple":55,"strongnum":22,"RL":{"all":{"sideA":"no","sideB":"no"},"some":55},"MB":{"all":{}}}</v>
      </c>
    </row>
    <row r="15" spans="1:24" x14ac:dyDescent="0.25">
      <c r="T15" t="s">
        <v>44</v>
      </c>
      <c r="V15" t="s">
        <v>30</v>
      </c>
      <c r="W15" t="e" cm="1">
        <f t="array" ref="W15">_xlfn.LAMBDA(_xlpm.oJson,
  _xlfn.LET(
    _xlpm.walk,
      _xlfn.LAMBDA(_xlpm.J,_xlpm.self,_xlpm.depth,
        IF(_xlpm.depth&gt;20,"STOP@"&amp;_xlpm.depth,
          _xlfn.LET(
            _xlpm.set, jsonGetKeysAtLevel(_xlpm.J),
            _xlpm.pruned,
              _xlfn.REDUCE({""},_xlpm.set,
                _xlfn.LAMBDA(_xlpm.acc,_xlpm.row,
                  _xlfn.LET(
                    _xlpm.k, INDEX(_xlpm.row,1),
                    _xlpm.v, INDEX(_xlpm.row,2),
                    _xlpm.isObj, LEFT(TRIM(_xlpm.v),1)="{",
                    _xlpm.val,
                      IF(_xlpm.isObj,
                        _xlpm.self(_xlpm.v,_xlpm.self,_xlpm.depth+1),
                        _xlpm.v
                      ),
                    _xlpm.keep,
                      AND(_xlpm.val&lt;&gt;"{}",_xlpm.val&lt;&gt;"",NOT(ISNA(_xlpm.val))),
                    IF(_xlpm.keep,arrayRepAdd(_xlpm.acc,_xlpm.k,_xlpm.val),_xlpm.acc)
                  )
                )
              ),
            jsonObject(_xlpm.pruned)
          )
        )
      ),
    _xlpm.walk(_xlpm.oJson,_xlpm.walk,0)
  )
)(W14)</f>
        <v>#VALUE!</v>
      </c>
    </row>
    <row r="16" spans="1:24" x14ac:dyDescent="0.25">
      <c r="V16" t="s">
        <v>31</v>
      </c>
      <c r="W16" s="2" t="str" cm="1">
        <f t="array" ref="W16">_xlfn.LAMBDA(_xlpm.JSON1,_xlpm.JSON2,_xlpm.MODE,
 _xlfn.LET(
   _xlpm.WALK, _xlfn.LAMBDA(_xlpm.JSONE,_xlpm.JSTWO,_xlpm.SUBMODE,_xlpm.DEPTH,_xlpm.SELF,
     IF(_xlpm.DEPTH&gt;10,"#STOP: recursion too deep",
       _xlfn.LET(
         _xlpm.JsonSet1, jsonGetKeysAtLevel(_xlpm.JSONE),
         _xlpm.JsonSet2, jsonGetKeysAtLevel(_xlpm.JSTWO),
         _xlpm.ReduceSET, _xlfn.MAP(
            INDEX(_xlpm.JsonSet2,,1),
            INDEX(_xlpm.JsonSet2,,2),
            _xlfn.LAMBDA(_xlpm.ARRAYONE,_xlpm.ARRAYTWO, jsonObject(_xlfn.HSTACK(_xlpm.ARRAYONE,_xlpm.ARRAYTWO)))
         ),
         _xlpm.RESULT, _xlfn.REDUCE(
            _xlpm.JsonSet1,
            _xlpm.ReduceSET,
            _xlfn.LAMBDA(_xlpm.returnset,_xlpm.testsetobj,
              _xlfn.LET(
                _xlpm.objkeyset, jsonGetKeysAtLevel(_xlpm.testsetobj),
                _xlpm.key, INDEX(_xlpm.objkeyset,1,1),
                _xlpm.value, INDEX(_xlpm.objkeyset,1,2),
                _xlpm.keys, INDEX(_xlpm.returnset,,1),
                _xlpm.values, INDEX(_xlpm.returnset,,2),
                _xlpm.keypresent, SUM(--(_xlpm.keys=_xlpm.key))&gt;0,
                _xlpm.oldvalue, IF(_xlpm.keypresent, INDEX(_xlfn._xlws.FILTER(_xlpm.returnset, INDEX(_xlpm.returnset,,1)=_xlpm.key), 1, 2), NA()),
                _xlpm.test1, IF(ISNA(_xlpm.oldvalue),"NA", LEFT(TRIM(_xlpm.oldvalue),1)),
                _xlpm.test2, IF(ISNA(_xlpm.value),"NA", LEFT(TRIM(_xlpm.value),1)),
                _xlpm.isObjectPair, IFERROR(AND(_xlpm.test1="{", _xlpm.test2="{"), FALSE),
                _xlpm.isListPair, IFERROR(AND(_xlpm.test1="[", _xlpm.test2="["), FALSE),
                _xlpm.normmode, _xlpm.SUBMODE=0,
                _xlpm.repMode, _xlpm.SUBMODE=1,
                _xlpm.addMode, _xlpm.SUBMODE=2,
                _xlfn.SWITCH(TRUE,
                  AND(_xlpm.keypresent, NOT(_xlpm.repMode), _xlpm.isObjectPair),
                    arrayRepAdd(_xlpm.returnset, _xlpm.key, _xlpm.SELF(_xlpm.oldvalue, _xlpm.value, _xlpm.SUBMODE, _xlpm.DEPTH+1, _xlpm.SELF)),
                  AND(_xlpm.keypresent, NOT(_xlpm.repMode), _xlpm.isListPair),
                    arrayRepAdd(_xlpm.returnset, _xlpm.key, listToJson(_xlfn.VSTACK(listFromJson(_xlpm.oldvalue), listFromJson(_xlpm.value)))),
                  AND(_xlpm.addMode, _xlfn.XOR(_xlpm.test1="[", _xlpm.test2="[")),
                    IF(_xlpm.test1="[",arrayRepAdd(_xlpm.returnset, _xlpm.key, listToJson(_xlfn.VSTACK(listFromJson(_xlpm.oldvalue), _xlpm.value))),arrayRepAdd(_xlpm.returnset, _xlpm.key, listToJson(_xlfn.VSTACK(_xlpm.oldvalue, listFromJson(_xlpm.value))))),
                  AND(_xlpm.keypresent, _xlpm.addMode),
                    arrayRepAdd(_xlpm.returnset, _xlpm.key, IF(AND(NOT(ISERROR(VALUE(_xlpm.oldvalue))),NOT(ISERROR(VALUE(_xlpm.value)))), VALUE(_xlpm.oldvalue) + VALUE(_xlpm.value), _xlpm.oldvalue &amp; _xlpm.value)),
                    arrayRepAdd(_xlpm.returnset, _xlpm.key, _xlpm.value)
                )
              )
            )
         ),
         jsonObject(_xlpm.RESULT)
       )
     )
   ),
   _xlpm.WALK(_xlpm.JSON1,_xlpm.JSON2,_xlpm.MODE,0,_xlpm.WALK)
 )
)(Q2,Q7,0)</f>
        <v>{"HD":["r",7,5,m],"RA":["a",1],"L4":"string","simple":55,"strongnum":22,"RL":{"all":{"sideA":"no","sideB":"no"},"some":55},"MB":35,"RS":59,"BG":5,"QL":2}</v>
      </c>
      <c r="X16" s="2" t="str" cm="1">
        <f t="array" ref="X16">_xlfn.LAMBDA(_xlpm.JSONOLD,_xlpm.JSONNEW,_xlpm.MODE,
 _xlfn.LET(
    _xlpm.solver, _xlfn.LAMBDA(_xlpm.JSON1,_xlpm.JSON2,
        _xlfn.LET(
           _xlpm.WALK, _xlfn.LAMBDA(_xlpm.JSONE,_xlpm.JSTWO,_xlpm.SUBMODE,_xlpm.DEPTH,_xlpm.SELF,
             IF(_xlpm.DEPTH&gt;10,"#STOP: recursion too deep",
               _xlfn.LET(
                 _xlpm.JsonSet1, jsonGetKeysAtLevel(_xlpm.JSONE),
                 _xlpm.JsonSet2, jsonGetKeysAtLevel(_xlpm.JSTWO),
                 _xlpm.ReduceSET, _xlfn.MAP(
                    INDEX(_xlpm.JsonSet2,,1),
                    INDEX(_xlpm.JsonSet2,,2),
                    _xlfn.LAMBDA(_xlpm.ARRAYONE,_xlpm.ARRAYTWO, jsonObject(_xlfn.HSTACK(_xlpm.ARRAYONE,_xlpm.ARRAYTWO)))
                 ),
                 _xlpm.RESULT, _xlfn.REDUCE(
                    _xlpm.JsonSet1,
                    _xlpm.ReduceSET,
                    _xlfn.LAMBDA(_xlpm.returnset,_xlpm.testsetobj,
                      _xlfn.LET(
                        _xlpm.objkeyset, jsonGetKeysAtLevel(_xlpm.testsetobj),
                        _xlpm.key, INDEX(_xlpm.objkeyset,1,1),
                        _xlpm.value, INDEX(_xlpm.objkeyset,1,2),
                        _xlpm.keys, INDEX(_xlpm.returnset,,1),
                        _xlpm.values, INDEX(_xlpm.returnset,,2),
                        _xlpm.keypresent, SUM(--(_xlpm.keys=_xlpm.key))&gt;0,
                        _xlpm.oldvalue, IF(_xlpm.keypresent, INDEX(_xlfn._xlws.FILTER(_xlpm.returnset, INDEX(_xlpm.returnset,,1)=_xlpm.key), 1, 2), NA()),
                        _xlpm.test1, IF(ISNA(_xlpm.oldvalue),"NA", LEFT(TRIM(_xlpm.oldvalue),1)),
                        _xlpm.test2, IF(ISNA(_xlpm.value),"NA", LEFT(TRIM(_xlpm.value),1)),
                        _xlpm.isObjectPair, IFERROR(AND(_xlpm.test1="{", _xlpm.test2="{"), FALSE),
                        _xlpm.isListPair, IFERROR(AND(_xlpm.test1="[", _xlpm.test2="["), FALSE),
                        _xlpm.normmode, _xlpm.SUBMODE=0,
                        _xlpm.repMode, _xlpm.SUBMODE=1,
                        _xlpm.addMode, _xlpm.SUBMODE=2,
                        _xlfn.SWITCH(TRUE,
                          AND(_xlpm.keypresent, NOT(_xlpm.repMode), _xlpm.isObjectPair),
                            arrayRepAdd(_xlpm.returnset, _xlpm.key, _xlpm.SELF(_xlpm.oldvalue, _xlpm.value, _xlpm.SUBMODE, _xlpm.DEPTH+1, _xlpm.SELF)),
                          AND(_xlpm.keypresent, NOT(_xlpm.repMode), _xlpm.isListPair),
                            arrayRepAdd(_xlpm.returnset, _xlpm.key, listToJson(_xlfn.VSTACK(listFromJson(_xlpm.oldvalue), listFromJson(_xlpm.value)))),
                          AND(_xlpm.addMode, _xlfn.XOR(_xlpm.test1="[", _xlpm.test2="[")),
                            IF(_xlpm.test1="[",arrayRepAdd(_xlpm.returnset, _xlpm.key, listToJson(_xlfn.VSTACK(listFromJson(_xlpm.oldvalue), _xlpm.value))),arrayRepAdd(_xlpm.returnset, _xlpm.key, listToJson(_xlfn.VSTACK(_xlpm.oldvalue, listFromJson(_xlpm.value))))),
                          AND(_xlpm.keypresent, _xlpm.addMode),
                            arrayRepAdd(_xlpm.returnset, _xlpm.key, IF(AND(NOT(ISERROR(VALUE(_xlpm.oldvalue))),NOT(ISERROR(VALUE(_xlpm.value)))), VALUE(_xlpm.oldvalue) + VALUE(_xlpm.value), _xlpm.oldvalue &amp; _xlpm.value)),
                            arrayRepAdd(_xlpm.returnset, _xlpm.key, _xlpm.value)
                        )
                      )
                    )
                 ),
                 jsonObject(_xlpm.RESULT)
               )
             )
           ),
        _xlpm.WALK(_xlpm.JSON1,_xlpm.JSON2,_xlpm.MODE,0,_xlpm.WALK)
        )),
     _xlfn.REDUCE(_xlpm.JSONOLD,_xlpm.JSONNEW,_xlpm.solver)
 )
)(Q2,Q7,0)</f>
        <v>{"HD":["r",7,5,m],"RA":["a",1],"L4":"string","simple":55,"strongnum":22,"RL":{"all":{"sideA":"no","sideB":"no"},"some":55},"MB":35,"RS":59,"BG":5,"QL":2}</v>
      </c>
    </row>
    <row r="17" spans="3:26" x14ac:dyDescent="0.25">
      <c r="N17" t="s">
        <v>13</v>
      </c>
      <c r="O17" t="str" cm="1">
        <f t="array" ref="O17:P17">_xlfn.TEXTSPLIT(_xlfn.REGEXREPLACE(N17,CHAR(34),""),".")</f>
        <v>RL</v>
      </c>
      <c r="P17" t="str">
        <v>some</v>
      </c>
      <c r="V17" t="s">
        <v>32</v>
      </c>
      <c r="W17" t="str" cm="1">
        <f t="array" ref="W17">_xlfn.LAMBDA(_xlpm.arr,
  _xlfn.LET(
    _xlpm.quoted, _xlfn.MAP(_xlpm.arr, _xlfn.LAMBDA(_xlpm.x, jsonQuote(_xlpm.x))),
    _xlpm.joined, _xlfn.TEXTJOIN(",",TRUE,_xlpm.quoted),
    "[" &amp; _xlpm.joined &amp; "]"
  )
)(_xlfn.ANCHORARRAY(W18))</f>
        <v>["r",7,5,"m"]</v>
      </c>
    </row>
    <row r="18" spans="3:26" x14ac:dyDescent="0.25">
      <c r="K18" cm="1">
        <f t="array" ref="K18">_xlfn.LET( _xlpm.EXPR, _xlfn.LAMBDA(_xlpm.A,_xlpm.B,_xlpm.A*_xlpm.B),_xlpm.EXPR(3,2))</f>
        <v>6</v>
      </c>
      <c r="N18" s="3" t="e" cm="1">
        <f t="array" ref="N18" xml:space="preserve"> _xlfn.LAMBDA(_xlpm.json,_xlpm.path,
  _xlfn.LET(
    _xlpm.DBQ, CHAR(34),
    _xlpm.keys, _xlfn.TEXTSPLIT(_xlfn.REGEXREPLACE(_xlpm.path,CHAR(34),""),"."),
    _xlpm.getStep,
      _xlfn.LAMBDA(_xlpm.j,_xlpm.k,
        _xlfn.LET(
          _xlpm.quotedKey, _xlpm.DBQ &amp; _xlpm.k &amp; _xlpm.DBQ,
          _xlpm.pattern, "\s*.*?" &amp; _xlpm.quotedKey &amp; "\s*:\s*(?:(\{[^\}]*\}+)|(\[[^\]]*\])|(" &amp; _xlpm.DBQ &amp; "[^" &amp; CHAR(34) &amp; "]*" &amp; _xlpm.DBQ &amp; ")|([^,\}\]]+))",
          _xlpm.match, _xlfn.REGEXEXTRACT(_xlpm.j, _xlpm.pattern,2),
          _xlpm.cleanmatch, _xlfn.TEXTJOIN("",TRUE,_xlfn.IFNA(_xlpm.match,"")),
          IF(_xlpm.cleanmatch = "", NA(), _xlpm.cleanmatch)
        )
      ),
    _xlfn.REDUCE(_xlpm.json, _xlpm.keys, _xlpm.getStep)
  )
)(Q3,N17)</f>
        <v>#N/A</v>
      </c>
      <c r="P18" t="e" cm="1" vm="7">
        <f t="array" ref="P18" xml:space="preserve"> _xlfn.LAMBDA(_xlpm.json,_xlpm.path,
  _xlfn.LET(
    _xlpm.DBQ, CHAR(34),
    _xlpm.keys, _xlfn.TEXTSPLIT(_xlfn.REGEXREPLACE(_xlpm.path, _xlpm.DBQ, ""), "."),
    _xlpm.getStep,
      _xlfn.LAMBDA(_xlpm.j,_xlpm.k,
        _xlfn.LET(
          _xlpm.quotedKey, _xlpm.DBQ &amp; _xlpm.k &amp; _xlpm.DBQ,
          _xlpm.pattern, "\s*" &amp; _xlpm.quotedKey &amp; "\s*:\s*(\{[^{}]*\}|\[[^\]]*\]|" &amp; _xlpm.DBQ &amp; "[^" &amp; _xlpm.DBQ &amp; "]*" &amp; _xlpm.DBQ &amp; "|[^,\}\]]+)",
          _xlpm.match, _xlfn.REGEXEXTRACT(_xlpm.j, _xlpm.pattern),
          _xlpm.cleaned,
            IF(
              AND(LEFT(_xlpm.match,1)="{", RIGHT(_xlpm.match,1)="}"),
              _xlfn.LET(
                _xlpm.openCount, LEN(_xlpm.match) - LEN(SUBSTITUTE(_xlpm.match,"{","")),
                _xlpm.closeCount, LEN(_xlpm.match) - LEN(SUBSTITUTE(_xlpm.match,"}","")),
                _xlpm.diff, _xlpm.closeCount - _xlpm.openCount,
                IF(_xlpm.diff &gt; 0,
                  LEFT(_xlpm.match, LEN(_xlpm.match) - _xlpm.diff),
                  _xlpm.match
                )
              ),
              _xlpm.match
            ),
          IF(_xlpm.cleaned = "", NA(), _xlpm.cleaned)
        )
      ),
    _xlfn.REDUCE(_xlpm.json, _xlpm.keys, _xlpm.getStep)
  )
)(Q3,N17)</f>
        <v>#N/A</v>
      </c>
      <c r="V18" t="s">
        <v>33</v>
      </c>
      <c r="W18" t="str" cm="1">
        <f t="array" ref="W18:Z18">_xlfn.LAMBDA(_xlpm.json,
  _xlfn.LET(
    _xlpm.inner, MID(TRIM(_xlpm.json),2,LEN(TRIM(_xlpm.json))-2),
    _xlpm.parts, IF(_xlpm.inner="", _xlfn.MAKEARRAY(0,1,_xlfn.LAMBDA(_xlpm.r,_xlpm.c,"")), _xlfn.TEXTSPLIT(_xlpm.inner, ",",,TRUE)),
    TRIM(SUBSTITUTE(_xlpm.parts, """", ""))
  )
)(jsonGet(W14,"HD"))</f>
        <v>r</v>
      </c>
      <c r="X18" t="str">
        <v>7</v>
      </c>
      <c r="Y18" t="str">
        <v>5</v>
      </c>
      <c r="Z18" t="str">
        <v>m</v>
      </c>
    </row>
    <row r="19" spans="3:26" x14ac:dyDescent="0.25">
      <c r="P19" t="e" cm="1">
        <f t="array" ref="P19" xml:space="preserve"> _xlfn.LAMBDA(_xlpm.text,_xlpm.openChar,_xlpm.closeChar,_xlpm.fixOpen,
  _xlfn.LET(
    _xlpm.openCount, LEN(_xlpm.text) - LEN(SUBSTITUTE(_xlpm.text, _xlpm.openChar, "")),
    _xlpm.closeCount, LEN(_xlpm.text) - LEN(SUBSTITUTE(_xlpm.text, _xlpm.closeChar, "")),
    _xlpm.excessClose, MAX(0, _xlpm.closeCount - _xlpm.openCount),
    _xlpm.missingOpen, MAX(0, _xlpm.openCount - _xlpm.closeCount),
    _xlpm.trimmedText,
      IF(
        _xlpm.excessClose &gt; 0,
        LEFT(_xlpm.text, LEN(_xlpm.text) - _xlpm.excessClose),
        _xlpm.text
      ),
    _xlpm.result,
      IF(
        _xlpm.fixOpen,
        REPT(_xlpm.openChar, _xlpm.missingOpen) &amp; _xlpm.trimmedText,
        _xlpm.trimmedText
      ),
    _xlpm.result
  )
)(N18,"{","}",FALSE)</f>
        <v>#N/A</v>
      </c>
      <c r="R19" t="str" cm="1">
        <f t="array" ref="R19:T19">_xlfn.TEXTSPLIT("MB.all.sideA",".")</f>
        <v>MB</v>
      </c>
      <c r="S19" t="str">
        <v>all</v>
      </c>
      <c r="T19" t="str">
        <v>sideA</v>
      </c>
      <c r="V19" t="s">
        <v>39</v>
      </c>
      <c r="W19" t="b" cm="1">
        <f t="array" ref="W19">_xlfn.LAMBDA(_xlpm.numberinpreclean,_xlpm.rangein,
_xlfn.LET(
    _xlpm.parseset, _xlfn.LAMBDA(_xlpm.singleset,
          _xlfn.LET(
            _xlpm.raw, TRIM(IF(_xlpm.singleset="","(0,0)",_xlpm.singleset)),
            _xlpm.numberin,VALUE(TRIM(_xlpm.numberinpreclean)),
            _xlpm.safe, SUBSTITUTE(_xlfn.REGEXREPLACE(_xlpm.raw, "([(\[].*?),(.*?[\])])", "$1|$2")," ",""),
            _xlpm.intervals, _xlfn.TEXTSPLIT(_xlpm.safe, ","),
            _xlpm.parseInterval, _xlfn.LAMBDA(_xlpm.tok,
                   _xlfn.LET(
                     _xlpm.t, TRIM(SUBSTITUTE(_xlpm.tok,"|",",")),
                     _xlpm.hasBraces, OR(LEFT(_xlpm.t,1)="(", LEFT(_xlpm.t,1)="["),
                     _xlpm.dashParts, IF(_xlpm.hasBraces, "", _xlfn.TEXTSPLIT(_xlpm.t,"-")),
                     _xlpm.leftB, IF(_xlpm.hasBraces, LEFT(_xlpm.t,1), "["),
                     _xlpm.rightB, IF(_xlpm.hasBraces, RIGHT(_xlpm.t,1), "]"),
                     _xlpm.body, IF(_xlpm.hasBraces, MID(_xlpm.t,2,LEN(_xlpm.t)-2), _xlpm.t),
                     _xlpm.nums, IF(
                       _xlpm.hasBraces,
                       _xlfn.REGEXEXTRACT(_xlpm.body,"([-0-9]+(?:\.[-0-9]+)?)?,([-0-9]+(?:\.[-0-9]+)?)?",2),
                       ""
                     ),
                     _xlpm.minRaw, IF(_xlpm.hasBraces, IFERROR(INDEX(_xlpm.nums,1),-1E+99), IF(COUNTA(_xlpm.dashParts)&gt;=1,TRIM(INDEX(_xlpm.dashParts,1)),"")),
                     _xlpm.maxRaw, IF(_xlpm.hasBraces, IFERROR(INDEX(_xlpm.nums,2),1E+99), IF(COUNTA(_xlpm.dashParts)=2,TRIM(INDEX(_xlpm.dashParts,2)),"")),
                     _xlpm.min, IF(OR(_xlpm.minRaw="",_xlpm.minRaw="-∞"), -1E+99, VALUE(_xlpm.minRaw)),
                     _xlpm.max, IF(OR(_xlpm.maxRaw="",_xlpm.maxRaw="∞",_xlpm.maxRaw="+∞"), 1E+99, VALUE(_xlpm.maxRaw)),
                     _xlpm.lowerOK, IF(_xlpm.leftB="(", _xlpm.numberin&gt;_xlpm.min, _xlpm.numberin&gt;=_xlpm.min),
                     _xlpm.upperOK, IF(_xlpm.rightB=")", _xlpm.numberin&lt;_xlpm.max, _xlpm.numberin&lt;=_xlpm.max),
                     AND(_xlpm.lowerOK,_xlpm.upperOK)
                   )
                  ),
                  _xlpm.result,OR(_xlfn.MAP(_xlpm.intervals, _xlpm.parseInterval)),
                  _xlpm.result
            )
        ),
    IF(_xlfn.ISOMITTED(_xlpm.rangein),FALSE,_xlfn.MAP(_xlpm.rangein,_xlpm.parseset)))
)(5,)</f>
        <v>0</v>
      </c>
    </row>
    <row r="20" spans="3:26" x14ac:dyDescent="0.25">
      <c r="I20" t="s">
        <v>15</v>
      </c>
      <c r="V20" t="s">
        <v>45</v>
      </c>
      <c r="W20" t="str" cm="1">
        <f t="array" ref="W20">_xlfn.LAMBDA(_xlpm.span,_xlpm.partarr,_xlop.extrahungry,
  _xlfn.LET(
    _xlpm.num, ROWS(_xlpm.partarr),
    _xlpm.initialState, jsonObject(
      _xlfn.HSTACK(
        _xlfn.VSTACK("rem","out","row"),
        _xlfn.VSTACK(_xlpm.span,"{ }","0")
      )
    ),
    _xlpm.rowarray,
      _xlfn.MAKEARRAY(
        _xlpm.num, 1,
        _xlfn.LAMBDA(_xlpm.rown,_xlpm.ind,
          jsonObject(
            _xlfn.HSTACK(
              _xlfn.VSTACK("name","len","row"),
              _xlfn.VSTACK(INDEX(_xlpm.partarr,_xlpm.rown,1), INDEX(_xlpm.partarr,_xlpm.rown,2), _xlpm.rown)
            )
          )
        )
      ),
    _xlpm.finalState,
      _xlfn.REDUCE(
        _xlpm.initialState,
        _xlpm.rowarray,
        _xlfn.LAMBDA(_xlpm.state,_xlpm.partJson,
          _xlfn.LET(
            _xlpm.rem, VALUE(IFERROR(jsonGet(_xlpm.state,"rem"),"#BROKEN:rem")),
            _xlpm.outJson, IFERROR(jsonGet(_xlpm.state,"out"),"#MISSING:out"),
            _xlpm.rownum, VALUE(IFERROR(jsonGet(_xlpm.state,"row"),"#BROKEN:row")),
            _xlpm.pname, IFERROR(jsonGet(_xlpm.partJson,"name"),"#BROKEN:name"),
            _xlpm.plen, VALUE(IFERROR(jsonGet(_xlpm.partJson,"len"),"#BROKEN:len")),
            _xlpm.lastpart, IFERROR(jsonGet(_xlpm.state,"lastpart"),"#BROKEN:lastpart"),
            _xlpm.lenlpart, IFERROR(jsonGet(_xlpm.state,"lenlpart"),"#BROKEN:lenlpart"),
            _xlpm.pcount, INT(_xlpm.rem/_xlpm.plen),
            _xlpm.newRem, _xlpm.rem - _xlpm.pcount*_xlpm.plen,
            _xlpm.fcount, IF(AND(NOT(ISNA(additionalconfig)), _xlpm.newRem&lt;0, _xlpm.pcount&gt;0), _xlpm.pcount-1, _xlpm.pcount),
            _xlpm.finalRem, _xlpm.rem - _xlpm.fcount*_xlpm.plen,
            _xlpm.newOut,
              IF(_xlfn.NUMBERVALUE(_xlpm.fcount)&gt;0,
                 IFERROR(jsonSet(_xlpm.outJson,_xlpm.pname,_xlpm.fcount),"#SETERR:newOut:"&amp;_xlpm.pname&amp;":"&amp;_xlpm.fcount),
                 _xlpm.outJson
              ),
            IFERROR(
              jsonSet(
                IFERROR(jsonSet(_xlpm.state,"rem",_xlpm.finalRem),"#SETERR:rem"),
                "out",_xlpm.newOut
              ),
              "#SETERR:out"
            )
          )
        )
      ),
    _xlpm.additionalconfig, IF(_xlfn.ISOMITTED(_xlpm.extrahungry),jsonGet(_xlpm.finalState,"out"),jsonJoin(jsonGet(_xlpm.finalState,"out"),_xlfn._xlws.FILTER(INDEX(_xlpm.extrahungry,,1),between(jsonGet(_xlpm.finalState,"rem"),INDEX(_xlpm.extrahungry,,2))),2)),
    _xlpm.additionalconfig
  )
)(A1,B5:C6)</f>
        <v>{ }</v>
      </c>
    </row>
    <row r="21" spans="3:26" x14ac:dyDescent="0.25">
      <c r="L21" t="e" cm="1">
        <f t="array" ref="L21" xml:space="preserve"> _xlfn.LAMBDA(_xlpm.json,
  _xlfn.LET(
    _xlpm.txt, MID(_xlpm.json, 2, LEN(_xlpm.json) - 2),
    _xlpm.chars, MID(_xlpm.txt, _xlfn.SEQUENCE(LEN(_xlpm.txt)), 1),
    _xlpm.initialToken, "",
    _xlpm.initialState, _xlfn.VSTACK(_xlpm.initialToken, 0, 0, FALSE, ""),
    _xlpm.resultState,
    _xlfn.REDUCE(
      _xlpm.initialState,
      _xlpm.chars,
      _xlfn.LAMBDA(_xlpm.state,_xlpm.ch,
        _xlfn.LET(
          _xlpm.token, INDEX(_xlpm.state, 1),
          _xlpm.curl, INDEX(_xlpm.state, 2),
          _xlpm.square, INDEX(_xlpm.state, 3),
          _xlpm.quotes, INDEX(_xlpm.state, 4),
          _xlpm.tail, _xlfn.DROP(_xlpm.state, 4),
          _xlpm.isQuote, _xlpm.ch = CHAR(34),
          _xlpm.newQuotes, IF(_xlpm.ch = CHAR(34), NOT(_xlpm.quotes), _xlpm.quotes),
          _xlpm.newCurl, IF(_xlpm.quotes, _xlpm.curl, IF(_xlpm.ch = "{", _xlpm.curl + 1, IF(_xlpm.ch = "}", _xlpm.curl - 1, _xlpm.curl))),
          _xlpm.newSquare, IF(_xlpm.quotes, _xlpm.square, IF(_xlpm.ch = "[", _xlpm.square + 1, IF(_xlpm.ch = "]", _xlpm.square - 1, _xlpm.square))),
          _xlpm.level, _xlpm.newCurl + _xlpm.newSquare,
          _xlpm.isSplit, AND(_xlpm.ch = ",", _xlpm.level = 0, NOT(_xlpm.newQuotes)),
          _xlpm.newToken, IF(_xlpm.isSplit, "", _xlpm.token &amp; _xlpm.ch),
          _xlpm.newTail, IF(_xlpm.isSplit,
            IF(_xlpm.tail="", _xlpm.token, _xlfn.HSTACK(_xlpm.tail, _xlpm.token)),
            _xlpm.tail
          ),
          _xlfn.VSTACK(_xlpm.newToken, _xlpm.newCurl, _xlpm.newSquare, _xlpm.newQuotes, _xlpm.newTail)
        )
      )
    ),
    _xlpm.fullResult, _xlfn.DROP(_xlpm.resultState, 4),
    _xlpm.lastToken, INDEX(_xlpm.resultState, 1),
    _xlpm.outputTokens, IF(_xlpm.lastToken &lt;&gt; "", _xlfn.VSTACK(_xlpm.fullResult, _xlpm.lastToken), _xlpm.fullResult),
    _xlfn._xlws.FILTER(_xlpm.outputTokens, _xlpm.outputTokens &lt;&gt; "")
  )
)(Q3)</f>
        <v>#N/A</v>
      </c>
      <c r="M21" t="e" cm="1" vm="8">
        <f t="array" ref="M21" xml:space="preserve"> _xlfn.LAMBDA(_xlpm.json,
  _xlfn.LET(
    _xlpm.content, MID(_xlpm.json, 2, LEN(_xlpm.json) - 2),
    _xlpm.chars, MID(_xlpm.content, _xlfn.SEQUENCE(LEN(_xlpm.content)), 1),
    _xlpm.initialState, _xlfn.VSTACK("", 0, 0, FALSE, ""),
    _xlpm.processed,
    _xlfn.REDUCE(
      _xlpm.initialState,
      _xlpm.chars,
      _xlfn.LAMBDA(_xlpm.state,_xlpm.ch,
        _xlfn.LET(
          _xlpm.token, INDEX(_xlpm.state, 1),
          _xlpm.curl, INDEX(_xlpm.state, 2),
          _xlpm.square, INDEX(_xlpm.state, 3),
          _xlpm.quotes, INDEX(_xlpm.state, 4),
          _xlpm.temp, _xlfn.DROP(_xlpm.state, 4),
          _xlpm.isQuote, _xlpm.ch = CHAR(34),
          _xlpm.newQuotes, IF(_xlpm.ch = CHAR(34), NOT(_xlpm.quotes), _xlpm.quotes),
          _xlpm.newCurl, IF(_xlpm.quotes, _xlpm.curl, IF(_xlpm.ch = "{", _xlpm.curl + 1, IF(_xlpm.ch = "}", _xlpm.curl - 1, _xlpm.curl))),
          _xlpm.newSquare, IF(_xlpm.quotes, _xlpm.square, IF(_xlpm.ch = "[", _xlpm.square + 1, IF(_xlpm.ch = "]", _xlpm.square - 1, _xlpm.square))),
          _xlpm.level, _xlpm.newCurl + _xlpm.newSquare,
          _xlpm.isSplit, AND(_xlpm.ch = ",", _xlpm.level = 0, NOT(_xlpm.newQuotes)),
          _xlpm.newToken, IF(_xlpm.isSplit, "", _xlpm.token &amp; _xlpm.ch),
          _xlpm.newTemp, IF(_xlpm.isSplit,
            IF(ROWS(_xlpm.temp) = 0, _xlpm.newToken, _xlfn.VSTACK(_xlpm.temp, _xlpm.newToken)),
            _xlpm.temp
          ),
          _xlfn.VSTACK(_xlpm.newToken, _xlpm.newCurl, _xlpm.newSquare, _xlpm.newQuotes, _xlpm.newTemp)
        )
      )
    ),
    _xlpm.rawPairs, _xlfn.DROP(_xlpm.processed, 4),
    _xlpm.finalToken, INDEX(_xlpm.processed, 1),
    _xlpm.allPairs, IF(_xlpm.finalToken &lt;&gt; "", _xlfn.VSTACK(_xlpm.rawPairs, _xlpm.finalToken), _xlpm.rawPairs),
    _xlpm.parsedPairs,
    _xlfn.MAP(_xlpm.allPairs, _xlfn.LAMBDA(_xlpm.pair,
      _xlfn.LET(
        _xlpm.parts, _xlfn.TEXTSPLIT(_xlpm.pair, ":", 1),
        _xlpm.k, TRIM(SUBSTITUTE(INDEX(_xlpm.parts, 1), """", "")),
        _xlpm.v, TRIM(_xlfn.TEXTAFTER(_xlpm.pair, ":")),
        _xlfn.HSTACK(_xlpm.k, _xlpm.v)
      )
    )),
    _xlfn.VSTACK(_xlpm.parsedPairs)
  )
)(Q3)</f>
        <v>#VALUE!</v>
      </c>
      <c r="N21" s="3" t="str" cm="1">
        <f t="array" ref="N21:O27" xml:space="preserve"> _xlfn.LAMBDA(_xlpm.json,
  _xlfn.LET(
    _xlpm.content, IF(LEFT(_xlpm.json,1) = "{",MID(_xlpm.json, 2, LEN(_xlpm.json) - 2),_xlpm.json),
    _xlpm.chars, MID(_xlpm.content, _xlfn.SEQUENCE(LEN(_xlpm.content)), 1),
    _xlpm.initialState, _xlfn.VSTACK("", 0, 0, FALSE, "-0-0-FALSE",""),
    _xlpm.processed,
    _xlfn.REDUCE(
      _xlpm.initialState,
      _xlpm.chars,
      _xlfn.LAMBDA(_xlpm.state,_xlpm.ch,
        _xlfn.LET(
          _xlpm.token, INDEX(_xlpm.state, 1),
          _xlpm.curl, INDEX(_xlpm.state, 2),
          _xlpm.square, INDEX(_xlpm.state, 3),
          _xlpm.quotes, INDEX(_xlpm.state, 4),
          _xlpm.info, INDEX(_xlpm.state, 5),
          _xlpm.tail, _xlfn.DROP(_xlpm.state, 5),
          _xlpm.isQuote, _xlpm.ch = CHAR(34),
          _xlpm.newQuotes, IF(_xlpm.ch = CHAR(34), NOT(_xlpm.quotes), _xlpm.quotes),
          _xlpm.newCurl, IF(_xlpm.quotes, _xlpm.curl, IF(_xlpm.ch = "{", _xlpm.curl + 1, IF(_xlpm.ch = "}", _xlpm.curl - 1, _xlpm.curl))),
          _xlpm.newSquare, IF(_xlpm.quotes, _xlpm.square, IF(_xlpm.ch = "[", _xlpm.square + 1, IF(_xlpm.ch = "]", _xlpm.square - 1, _xlpm.square))),
          _xlpm.level, _xlpm.newCurl + _xlpm.newSquare,
          _xlpm.isSplit, AND(_xlpm.ch = ",", _xlpm.level = 0, NOT(_xlpm.newQuotes)),
          _xlpm.newToken, IF(_xlpm.isSplit, "", _xlpm.token &amp; _xlpm.ch),
          _xlpm.newTail, IF(_xlpm.isSplit,
             _xlfn.VSTACK(_xlpm.tail, _xlpm.token),
             _xlpm.tail
          ),
          _xlpm.newInfo, _xlfn.TEXTJOIN("-",TRUE,_xlpm.info,";",_xlpm.isSplit,_xlpm.newToken, _xlpm.newCurl, _xlpm.newSquare, _xlpm.newQuotes ),
          _xlfn.VSTACK(_xlpm.newToken, _xlpm.newCurl, _xlpm.newSquare, _xlpm.newQuotes, _xlpm.newInfo, _xlpm.newTail)
        )
      )
    ),
    _xlpm.rawPairs, _xlfn.DROP(_xlpm.processed, 5),
    _xlpm.lastToken, INDEX(_xlpm.processed, 1),
    _xlpm.combined,IF(_xlpm.lastToken &lt;&gt; "", _xlfn.VSTACK(_xlpm.rawPairs, _xlpm.lastToken), _xlpm.rawPairs),
    _xlpm.allPairs, _xlfn._xlws.FILTER(_xlpm.combined,_xlpm.combined &lt;&gt; ""),
    _xlpm.keypairs,_xlfn.REDUCE(
      {"",""},
      _xlpm.allPairs,
      _xlfn.LAMBDA(_xlpm.acc,_xlpm.pair,
        _xlfn.LET(
          _xlpm.sep, _xlfn.TEXTAFTER(_xlpm.pair, ":"),
          _xlpm.key, _xlfn.TEXTBEFORE(_xlpm.pair, ":"),
          _xlpm.cleanKey, TRIM(SUBSTITUTE(_xlpm.key, """", "")),
          _xlpm.cleanVal, TRIM(_xlpm.sep),
          _xlfn.VSTACK(_xlpm.acc, _xlfn.HSTACK(_xlpm.cleanKey, _xlpm.cleanVal))
        )
      )
    ),
    _xlfn.DROP(_xlpm.keypairs,1)
  )
)(Q3)</f>
        <v>MB</v>
      </c>
      <c r="O21" t="str">
        <v>{"all":{"sideA":"yes"}}</v>
      </c>
      <c r="P21" s="3" t="str" cm="1">
        <f t="array" ref="P21" xml:space="preserve"> _xlfn.LAMBDA(_xlpm.json,_xlpm.path,
  _xlfn.LET(
    _xlpm.keys, _xlfn.TEXTSPLIT(_xlpm.path, "."),
    _xlfn.REDUCE(_xlpm.json, _xlpm.keys, _xlfn.LAMBDA(_xlpm.j,_xlpm.k,
        _xlfn.LET(
          _xlpm.pairs, jsonGetKeysAtLevel(_xlpm.j),
          _xlpm.matchRow, _xlfn._xlws.FILTER(_xlpm.pairs, INDEX(_xlpm.pairs,,1) = _xlpm.k),
          _xlpm.debugOut,_xlpm.k,
          IF(ROWS(_xlpm.matchRow) = 0, NA(), _xlfn.TEXTJOIN(",",TRUE,INDEX(_xlpm.matchRow,,2)))
        )
      ))
  )
)(Q3,"HD")</f>
        <v>["r",7,5,m]</v>
      </c>
      <c r="S21" t="e" cm="1" vm="1">
        <f t="array" ref="S21" xml:space="preserve"> _xlfn.LAMBDA(_xlpm.json,_xlpm.path,
  _xlfn.LET(
    _xlpm.keys, _xlfn.TEXTSPLIT(_xlpm.path, "."),
    _xlpm.step,
      _xlfn.LAMBDA(_xlpm.j,_xlpm.k,
        _xlfn.LET(
          _xlpm.pairs, jsonGetKeysAtLevel(_xlpm.j),
          _xlpm.matchRow, _xlfn._xlws.FILTER(_xlpm.pairs, INDEX(_xlpm.pairs,,1) = _xlpm.k),
          _xlfn.IFNA(IF(ROWS(_xlpm.matchRow) = 0, NA(), _xlpm.matchRow),_xlpm.k)
        )
      ),
    _xlfn.REDUCE(_xlpm.json, _xlpm.keys, _xlpm.step)
  )
)(P21,"all")</f>
        <v>#VALUE!</v>
      </c>
      <c r="V21" t="str" cm="1">
        <f t="array" ref="V21">jsonSet(Q3,"MB.all.sideA","no")</f>
        <v>{"HD":["r",7,5,m],"RA":["a",1],"L4":"string","simple":55,"strongnum":22,"RL":{"all":{"sideA":"no","sideB":"no"},"some":55},"MB":{"all":{"sideA":"no"}}}</v>
      </c>
    </row>
    <row r="22" spans="3:26" x14ac:dyDescent="0.25">
      <c r="N22" t="str">
        <v>HD</v>
      </c>
      <c r="O22" t="str">
        <v>["r",7,5,m]</v>
      </c>
      <c r="P22" t="str" cm="1">
        <f t="array" ref="P22">_xlfn.LAMBDA(_xlpm.json,_xlpm.path,
  _xlfn.LET(
    _xlpm.keys, _xlfn.TEXTSPLIT(_xlpm.path,"."),
    _xlfn.REDUCE(
      _xlpm.json,
      _xlpm.keys,
      _xlfn.LAMBDA(_xlpm.j,_xlpm.k,
        _xlfn.LET(
          _xlpm.pairs, jsonGetKeysAtLevel(_xlpm.j),
          _xlpm.vals, IFERROR(_xlfn._xlws.FILTER(_xlpm.pairs, INDEX(_xlpm.pairs,,1)=_xlpm.k), ""),
          IF(OR(_xlpm.vals="", ROWS(_xlpm.vals)=0), NA(), _xlfn.TEXTJOIN(",",TRUE,INDEX(_xlpm.vals,,2)))
        )
      )
    )
  )
)(Q3,{"MB"})</f>
        <v>{"all":{"sideA":"yes"}}</v>
      </c>
      <c r="V22" t="b" cm="1">
        <f t="array" ref="V22">between(15,)</f>
        <v>0</v>
      </c>
    </row>
    <row r="23" spans="3:26" x14ac:dyDescent="0.25">
      <c r="H23" t="str" cm="1">
        <f t="array" ref="H23:I29">_xlfn.LAMBDA(_xlpm.json,
  _xlfn.LET(
    _xlpm.content, IF(LEFT(_xlpm.json,1)="{", MID(_xlpm.json,2,LEN(_xlpm.json)-2), _xlpm.json),
    _xlpm.chars, MID(_xlpm.content, _xlfn.SEQUENCE(LEN(_xlpm.content)), 1),
    _xlpm.initialState, _xlfn.VSTACK("", 0, 0, FALSE, "-0-0-FALSE",""),
    _xlpm.processed,
      _xlfn.REDUCE(
        _xlpm.initialState,
        _xlpm.chars,
        _xlfn.LAMBDA(_xlpm.state,_xlpm.ch,
          _xlfn.LET(
            _xlpm.token, INDEX(_xlpm.state,1),
            _xlpm.curl, INDEX(_xlpm.state,2),
            _xlpm.square, INDEX(_xlpm.state,3),
            _xlpm.quotes, INDEX(_xlpm.state,4),
            _xlpm.info, INDEX(_xlpm.state,5),
            _xlpm.tail, IF(ROWS(_xlpm.state)&gt;5, _xlfn.DROP(_xlpm.state,5), ""),
            _xlpm.isQuote, _xlpm.ch=CHAR(34),
            _xlpm.newQuotes, IF(_xlpm.isQuote, NOT(_xlpm.quotes), _xlpm.quotes),
            _xlpm.newCurl, IF(_xlpm.quotes, _xlpm.curl, IF(_xlpm.ch="{", _xlpm.curl+1, IF(_xlpm.ch="}", _xlpm.curl-1, _xlpm.curl))),
            _xlpm.newSquare, IF(_xlpm.quotes, _xlpm.square, IF(_xlpm.ch="[", _xlpm.square+1, IF(_xlpm.ch="]", _xlpm.square-1, _xlpm.square))),
            _xlpm.level, _xlpm.newCurl+_xlpm.newSquare,
            _xlpm.isSplit, AND(_xlpm.ch=",", _xlpm.level=0, NOT(_xlpm.newQuotes)),
            _xlpm.newToken, IF(_xlpm.isSplit, "", _xlpm.token&amp;_xlpm.ch),
            _xlpm.newTail, IF(_xlpm.isSplit, _xlfn.VSTACK(_xlpm.tail, _xlpm.token), _xlpm.tail),
            _xlpm.newInfo, _xlfn.TEXTJOIN("-",TRUE,_xlpm.info,";",_xlpm.isSplit,_xlpm.newToken,_xlpm.newCurl,_xlpm.newSquare,_xlpm.newQuotes),
            _xlfn.VSTACK(_xlpm.newToken,_xlpm.newCurl,_xlpm.newSquare,_xlpm.newQuotes,_xlpm.newInfo,_xlpm.newTail)
          )
        )
      ),
    _xlpm.rawPairs, IF(ROWS(_xlpm.processed)&gt;5, _xlfn.DROP(_xlpm.processed,5), ""),
    _xlpm.lastToken, INDEX(_xlpm.processed,1),
    _xlpm.combined, IF(_xlpm.lastToken&lt;&gt;"", _xlfn.VSTACK(_xlpm.rawPairs,_xlpm.lastToken), _xlpm.rawPairs),
    _xlpm.allPairs, IFERROR(_xlfn._xlws.FILTER(_xlpm.combined, _xlpm.combined&lt;&gt;""), ""),
    _xlpm.keypairs,
      _xlfn.REDUCE(
        {"",""},
        _xlpm.allPairs,
        _xlfn.LAMBDA(_xlpm.acc,_xlpm.pair,
          _xlfn.LET(
            _xlpm.hasColon, ISNUMBER(SEARCH(":",_xlpm.pair)),
            _xlpm.sep, IF(_xlpm.hasColon, _xlfn.TEXTAFTER(_xlpm.pair,":"), ""),
            _xlpm.key, IF(_xlpm.hasColon, _xlfn.TEXTBEFORE(_xlpm.pair,":"), _xlpm.pair),
            _xlpm.cleanKey, TRIM(SUBSTITUTE(_xlpm.key, """","")),
            _xlpm.cleanVal, TRIM(_xlpm.sep),
            _xlfn.VSTACK(_xlpm.acc,_xlfn.HSTACK(_xlpm.cleanKey,_xlpm.cleanVal))
          )
        )
      ),
    IF(ROWS(_xlpm.keypairs)&gt;1, _xlfn.DROP(_xlpm.keypairs,1), _xlpm.keypairs)
  )
)(Q3)</f>
        <v>MB</v>
      </c>
      <c r="I23" t="str">
        <v>{"all":{"sideA":"yes"}}</v>
      </c>
      <c r="N23" t="str">
        <v>RA</v>
      </c>
      <c r="O23" t="str">
        <v>["a",1]</v>
      </c>
      <c r="S23" t="e" cm="1" vm="1">
        <f t="array" ref="S23" xml:space="preserve"> _xlfn.LAMBDA(_xlpm.json,_xlpm.path,
  _xlfn.LET(
    _xlpm.keys, _xlfn.TEXTSPLIT(_xlpm.path, "."),
    _xlpm.step,
      _xlfn.LAMBDA(_xlpm.j,_xlpm.k,
        _xlfn.LET(
          _xlpm.pairs, jsonGetKeysAtLevel(_xlpm.j),
          _xlpm.matchRow, _xlfn._xlws.FILTER(_xlpm.pairs, INDEX(_xlpm.pairs,,1) = _xlpm.k),
          IF(ROWS(_xlpm.matchRow) = 0, NA(), _xlpm.matchRow)
        )
      ),
    _xlfn.REDUCE(_xlpm.json, _xlpm.keys, _xlpm.step)
  )
)(T21,"sideA")</f>
        <v>#VALUE!</v>
      </c>
    </row>
    <row r="24" spans="3:26" x14ac:dyDescent="0.25">
      <c r="H24" t="str">
        <v>HD</v>
      </c>
      <c r="I24" t="str">
        <v>["r",7,5,m]</v>
      </c>
      <c r="N24" t="str">
        <v>L4</v>
      </c>
      <c r="O24" t="str">
        <v>"string"</v>
      </c>
    </row>
    <row r="25" spans="3:26" x14ac:dyDescent="0.25">
      <c r="H25" t="str">
        <v>RA</v>
      </c>
      <c r="I25" t="str">
        <v>["a",1]</v>
      </c>
      <c r="N25" t="str">
        <v>simple</v>
      </c>
      <c r="O25" t="str">
        <v>55</v>
      </c>
    </row>
    <row r="26" spans="3:26" x14ac:dyDescent="0.25">
      <c r="H26" t="str">
        <v>L4</v>
      </c>
      <c r="I26" t="str">
        <v>"string"</v>
      </c>
      <c r="N26" t="str">
        <v>strongnum</v>
      </c>
      <c r="O26" t="str">
        <v>22</v>
      </c>
      <c r="T26" t="str" cm="1">
        <f t="array" ref="T26">_xlfn.REDUCE(R1,IF(ROWS(_xlfn.TEXTSPLIT(Q1,,",",TRUE))=1,Q1,INDEX(_xlfn.TEXTSPLIT(Q1,,",",TRUE), _xlfn.SEQUENCE(ROWS(remainder),1,ROWS(_xlfn.TEXTSPLIT(Q1,,",",TRUE)),-1))),_xlfn.LAMBDA(_xlpm.acc,_xlpm.layer, jsonObject(_xlfn.VSTACK(_xlpm.layer, _xlpm.acc)))                 )</f>
        <v>{"MB.all.sideA":,"no":}</v>
      </c>
    </row>
    <row r="27" spans="3:26" x14ac:dyDescent="0.25">
      <c r="H27" t="str">
        <v>simple</v>
      </c>
      <c r="I27" t="str">
        <v>55</v>
      </c>
      <c r="N27" t="str">
        <v>RL</v>
      </c>
      <c r="O27" t="str">
        <v>{"all":{"sideA":"no","sideB":"no"},"some":55}</v>
      </c>
      <c r="T27" s="6" t="str" cm="1">
        <f t="array" ref="T27">_xlfn.LET(
   _xlpm.parts, _xlfn.TEXTSPLIT(Q1,,"."),
   _xlpm.rev, INDEX(_xlpm.parts, _xlfn.SEQUENCE(ROWS(_xlpm.parts),1,ROWS(_xlpm.parts),-1)),
   _xlfn.REDUCE(
      R1,
      _xlpm.rev,
      _xlfn.LAMBDA(_xlpm.acc,_xlpm.layer, jsonObject(_xlfn.HSTACK(_xlpm.layer, _xlpm.acc)))
   )
)</f>
        <v>{"MB":{"all":{"sideA":no}}}</v>
      </c>
    </row>
    <row r="28" spans="3:26" x14ac:dyDescent="0.25">
      <c r="H28" t="str">
        <v>strongnum</v>
      </c>
      <c r="I28" t="str">
        <v>22</v>
      </c>
      <c r="V28" t="str" cm="1">
        <f t="array" ref="V28">jsonObject(B5:C8)</f>
        <v>{"MB":120,"RS":59,"BG":5,"QL":2}</v>
      </c>
    </row>
    <row r="29" spans="3:26" x14ac:dyDescent="0.25">
      <c r="H29" t="str">
        <v>RL</v>
      </c>
      <c r="I29" t="str">
        <v>{"all":{"sideA":"no","sideB":"no"},"some":55}</v>
      </c>
    </row>
    <row r="30" spans="3:26" x14ac:dyDescent="0.25">
      <c r="W30" t="str" cm="1">
        <f t="array" ref="W30">_xlfn.LAMBDA(_xlpm.oJson,_xlpm.oPath,_xlpm.oValue,
  _xlfn.LET(
    _xlpm.walk,
      _xlfn.LAMBDA(_xlpm.J,_xlpm.P,_xlpm.V,_xlpm.depth,_xlpm.self,
        IF(_xlpm.depth&gt;20, "STOP@"&amp;_xlpm.P,
          _xlfn.LET(
            _xlpm.set, jsonGetKeysAtLevel(_xlpm.J),
            _xlpm.parts, _xlfn.TEXTSPLIT(_xlpm.P,,".",TRUE),
            _xlpm.n, ROWS(_xlpm.parts),
            _xlpm.hasTail, _xlpm.n&gt;1,
            _xlpm.key, INDEX(_xlpm.parts,1),
            _xlpm.tail, IF(_xlpm.hasTail, _xlfn.TEXTJOIN(".",,_xlfn.DROP(_xlpm.parts,1)), ""),
            _xlpm.keys, IFERROR(INDEX(_xlpm.set,,1), _xlfn.MAKEARRAY(1,1,_xlfn.LAMBDA(_xlpm.r,_xlpm.c,""))),
            _xlpm.keypresent, SUM(--(_xlpm.keys=_xlpm.key))&gt;0,
            _xlpm.curRaw, IF(_xlpm.keypresent, jsonGet(_xlpm.J,_xlpm.key), NA()),
            _xlpm.isObj, AND(NOT(ISNA(_xlpm.curRaw)), LEFT(TRIM(_xlpm.curRaw),1)="{"),
            _xlpm.newValQ, jsonQuote(_xlpm.V),
            _xlpm.result,
              _xlfn.SWITCH(TRUE,
                AND(_xlpm.hasTail, _xlpm.keypresent, _xlpm.isObj),
                  jsonObject(arrayRepAdd(_xlpm.set, _xlpm.key, _xlpm.self(_xlpm.curRaw, _xlpm.tail, _xlpm.V,_xlpm.depth+1,_xlpm.self))),
                AND(_xlpm.hasTail, _xlpm.keypresent, NOT(_xlpm.isObj)),
                  jsonObject(arrayRepAdd(_xlpm.set, _xlpm.key, nestedJsonBuild(_xlpm.tail, _xlpm.V))),
                AND(NOT(_xlpm.hasTail), _xlpm.keypresent),
                  jsonObject(arrayRepAdd(_xlpm.set, _xlpm.key, _xlpm.newValQ)),
                _xlpm.hasTail,
                  jsonObject(arrayRepAdd(_xlpm.set, _xlpm.key, nestedJsonBuild(_xlpm.tail, _xlpm.V))),
                jsonObject(arrayRepAdd(_xlpm.set, _xlpm.key, _xlpm.newValQ))
              ),_xlpm.result)
        )
      ),
    _xlpm.walk(_xlpm.oJson,_xlpm.oPath,_xlpm.oValue,0,_xlpm.walk)
  )
)(Q2,Q1,R1)</f>
        <v>{"HD":["r",7,5,m],"RA":["a",1],"L4":"string","simple":55,"strongnum":22,"RL":{"all":{"sideA":"no","sideB":"no"},"some":55},"MB":{"all":{"sideA":"no"}}}</v>
      </c>
    </row>
    <row r="31" spans="3:26" x14ac:dyDescent="0.25">
      <c r="P31" t="str" cm="1">
        <f t="array" ref="P31:Q37">jsonGetKeysAtLevel(Q2)</f>
        <v>MB</v>
      </c>
      <c r="Q31" t="str">
        <v>{"all":{"sideA":"yes"}}</v>
      </c>
      <c r="R31" t="str" cm="1">
        <f t="array" ref="R31" xml:space="preserve">
  _xlfn.LET(
    _xlpm.parts, _xlfn.TEXTSPLIT(Q1,,"."),
    _xlpm.head, INDEX(_xlfn.TEXTSPLIT(Q1,,"."),1),
    _xlpm.hasTail, ROWS(_xlfn.TEXTSPLIT(Q1,,"."))&gt;1,
    _xlpm.tail, IF(TRUE, _xlfn.TEXTJOIN(".",,_xlfn.DROP(_xlfn.TEXTSPLIT(Q1,,"."),1)), ""),
    _xlpm.pairs, jsonGetKeysAtLevel(Q2),
    _xlpm.keyVals, IFERROR(INDEX(jsonGetKeysAtLevel(Q2),,2), ""),
    _xlpm.childJson, IF(ROWS(_xlfn.TEXTSPLIT(Q1,,"."))&gt;1, jsonGet(Q2,INDEX(_xlfn.TEXTSPLIT(Q1,,"."),1)), ""),
    _xlpm.newChild,
      IF(AND(IF(TRUE, _xlfn.TEXTJOIN(".",,_xlfn.DROP(_xlfn.TEXTSPLIT(Q1,,"."),1)), "")&lt;&gt;"", LEFT(P22,1)="{"),
         _xlfn.TEXTJOIN("|",TRUE,IF(ROWS(_xlfn.TEXTSPLIT(Q1,,"."))&gt;1, jsonGet(Q2,INDEX(_xlfn.TEXTSPLIT(Q1,,"."),1)), ""), IF(TRUE, _xlfn.TEXTJOIN(".",,_xlfn.DROP(_xlfn.TEXTSPLIT(Q1,,"."),1)), ""), jsonQuote(R1)),
         jsonQuote(R1)),
    _xlpm.newPairs, arrayRepAdd(jsonGetKeysAtLevel(Q2),INDEX(_xlfn.TEXTSPLIT(Q1,,"."),1), IF(ROWS(_xlfn.TEXTSPLIT(Q1,,"."))&gt;1,_xlpm.newChild,jsonQuote(R1))),
    jsonObject(_xlpm.newPairs)
  )</f>
        <v>{"HD":["r",7,5,m],"RA":["a",1],"L4":"string","simple":55,"strongnum":22,"RL":{"all":{"sideA":"no","sideB":"no"},"some":55},"MB":"{"all":{"sideA":"yes"}}|all.sideA|"no"}</v>
      </c>
      <c r="T31" t="str" cm="1">
        <f t="array" ref="T31:T33" xml:space="preserve"> _xlfn.LAMBDA(_xlpm.path,
  _xlfn.LET(
    _xlpm.parts, _xlfn.TEXTSPLIT(_xlpm.path,,"."),
    _xlpm.head, INDEX(_xlpm.parts,1),
    _xlpm.tail, IF(ROWS(_xlpm.parts)&gt;1, _xlfn.DROP(_xlpm.parts,1), ""),
    _xlfn.VSTACK(_xlpm.head, _xlpm.tail)
  )
)(Q1)</f>
        <v>MB</v>
      </c>
      <c r="U31" t="str" cm="1">
        <f t="array" ref="U31" xml:space="preserve"> _xlfn.LAMBDA(_xlpm.json,_xlpm.key,_xlpm.val,
  _xlfn.LET(
    _xlpm.pairs, jsonGetKeysAtLevel(_xlpm.json),
    _xlpm.newPairs, arrayRepAdd(_xlpm.pairs,_xlpm.key,_xlpm.val),
    jsonObject(_xlpm.newPairs)
  )
)(#REF!,"MB",11)</f>
        <v>{"MB":11}</v>
      </c>
    </row>
    <row r="32" spans="3:26" x14ac:dyDescent="0.25">
      <c r="C32" t="s">
        <v>12</v>
      </c>
      <c r="I32" t="str" cm="1">
        <f t="array" ref="I32:I38">_xlfn.MAP(H23:H29,I23:I29,_xlfn.LAMBDA(_xlpm.ARRAY1,_xlpm.ARRAY2,jsonObject(_xlfn.HSTACK(_xlpm.ARRAY1,_xlpm.ARRAY2))))</f>
        <v>{"MB":{"all":{"sideA":"yes"}}}</v>
      </c>
      <c r="J32" t="str" cm="1">
        <f t="array" ref="J32:J38">_xlfn._xlws.SORT(_xlfn.ANCHORARRAY(I32))</f>
        <v>{"HD":["r",7,5,m]}</v>
      </c>
      <c r="K32" s="2" t="str" cm="1">
        <f t="array" ref="K32:L41">_xlfn.LET(
_xlpm.NEWVALARR,_xlfn._xlws.SORT(_xlfn.MAP(B5:B8,C5:C8,_xlfn.LAMBDA(_xlpm.ARRAY1,_xlpm.ARRAY2,jsonObject(_xlfn.HSTACK(_xlpm.ARRAY1,_xlpm.ARRAY2))))),
_xlfn.REDUCE(_xlfn.ANCHORARRAY(H23),_xlpm.NEWVALARR,_xlfn.LAMBDA(_xlpm.ACC,_xlpm.JSONPAIR,_xlfn.LET(
_xlpm.KEYVALUE,jsonGetKeysAtLevel(_xlpm.JSONPAIR),
_xlpm.KEY,INDEX(_xlpm.KEYVALUE,1,1),
_xlpm.VAL,INDEX(_xlpm.KEYVALUE,1,2),
arrayRepAdd(_xlpm.ACC,_xlpm.KEY,_xlpm.VAL)
)
)
))</f>
        <v>HD</v>
      </c>
      <c r="L32" t="str">
        <v>["r",7,5,m]</v>
      </c>
      <c r="M32" t="e" cm="1">
        <f t="array" ref="M32">_xlfn.LAMBDA(_xlpm.JSON1,_xlpm.JSON2,_xlpm.MODE,
_xlfn.LET(
     _xlpm.WALK, _xlfn.LAMBDA(_xlpm.JSONE,_xlpm.JSTWO,_xlpm.SUBMODE,_xlpm.DEPTH,_xlpm.SELF,
          IF(_xlpm.DEPTH&gt;10,"#STOP: recursion too deep",_xlfn.LET(
               _xlpm.JsonSet1, jsonGetKeysAtLevel(_xlpm.JSONE),
               _xlpm.JsonSet2, jsonGetKeysAtLevel(_xlpm.JSTWO),
               _xlpm.ReduceSET, _xlfn.MAP(INDEX(_xlpm.JsonSet2,,1),INDEX(_xlpm.JsonSet2,,2), _xlfn.LAMBDA(_xlpm.ARRAYONE,_xlpm.ARRAYTWO,jsonObject(_xlfn.HSTACK(_xlpm.ARRAYONE,_xlpm.ARRAYTWO)))),
               _xlpm.RESULT, _xlfn.REDUCE(_xlpm.JsonSet1,_xlpm.ReduceSET,_xlfn.LAMBDA(_xlpm.returnset,_xlpm.testsetobj, _xlfn.LET(
                            _xlpm.objkeyset, jsonGetKeysAtLevel(_xlpm.testsetobj),
                            _xlpm.key, INDEX(_xlpm.objkeyset,1,1),
                            _xlpm.value, INDEX(_xlpm.objkeyset,1,2),
                            _xlpm.keys, INDEX(resultset,,1),
                            _xlpm.values, INDEX(resultset,,2),
                            _xlpm.keypresent, SUM(--(_xlpm.keys=_xlpm.key))&gt;0,
                            _xlpm.oldvalue, IF(_xlpm.keypresent,INDEX(_xlfn._xlws.FILTER(_xlpm.returnset,_xlpm.keys=_xlpm.key),2),NA()),
                            _xlpm.test1, IF(ISNA(_xlpm.oldvalue),"NA",LEFT(TRIM(_xlpm.oldvalue),1)),
                            _xlpm.test2, IF(ISNA(_xlpm.oldvalue),"NA",LEFT(TRIM(_xlpm.value),1)),
                            _xlpm.isObjectPair, IFERROR(AND((_xlpm.test1="{"),(_xlpm.test2="{")),FALSE),
                            _xlpm.isListPair, IFERROR(AND((_xlpm.test1="["),(_xlpm.test2="[")),FALSE),
                            _xlpm.normmode,SUM(_xlpm.SUBMODE)=0,
                            _xlpm.repMode,SUM(_xlpm.SUBMODE)=1,
                            _xlpm.addMode,SUM(_xlpm.SUBMODE)=2,
                            _xlfn.SWITCH(TRUE,
                                 AND(_xlpm.keypresent,NOT(_xlpm.repMode),_xlpm.isObjectPair),arrayRepAdd(_xlpm.returnset,_xlpm.key,_xlpm.SELF(_xlpm.oldvalue,_xlpm.value,_xlpm.SUBMODE,_xlpm.DEPTH+1,_xlpm.SELF)),
                                 AND(_xlpm.keypresent,NOT(_xlpm.repMode),_xlpm.isListPair),arrayRepAdd(_xlpm.returnset,_xlpm.key, listToJson(_xlfn.VSTACK(listFromJson(_xlpm.oldvalue),listFromJson(_xlpm.value)))),
                                 AND(_xlpm.keypresent,_xlpm.addMode), arrayRepAdd(_xlpm.returnset,_xlpm.key,IF(ISNUMBER(_xlpm.oldvalue),_xlpm.oldvalue+_xlpm.value,_xlpm.oldvalue &amp; _xlpm.value)),
                            arrayRepAdd(_xlpm.returnset,_xlpm.key,_xlpm.value))
                       ))),
               jsonObject(_xlpm.RESULT)
         )
     )),
     _xlpm.WALK(_xlpm.JSON1,_xlpm.JSON2,_xlpm.MODE,0,_xlpm.WALK)
))(L37,J36,TRUE)</f>
        <v>#VALUE!</v>
      </c>
      <c r="N32" s="3" t="str" cm="1">
        <f t="array" ref="N32">_xlfn.LAMBDA(_xlpm.JSON1,_xlpm.JSON2,_xlpm.MODE,
 _xlfn.LET(
   _xlpm.WALK, _xlfn.LAMBDA(_xlpm.JSONE,_xlpm.JSTWO,_xlpm.SUBMODE,_xlpm.DEPTH,_xlpm.SELF,
     IF(_xlpm.DEPTH&gt;10,"#STOP: recursion too deep",
       _xlfn.LET(
         _xlpm.JsonSet1, jsonGetKeysAtLevel(_xlpm.JSONE),
         _xlpm.JsonSet2, jsonGetKeysAtLevel(_xlpm.JSTWO),
         _xlpm.ReduceSET, _xlfn.MAP(
            INDEX(_xlpm.JsonSet2,,1),
            INDEX(_xlpm.JsonSet2,,2),
            _xlfn.LAMBDA(_xlpm.ARRAYONE,_xlpm.ARRAYTWO, jsonObject(_xlfn.HSTACK(_xlpm.ARRAYONE,_xlpm.ARRAYTWO)))
         ),
         _xlpm.RESULT, _xlfn.REDUCE(
            _xlpm.JsonSet1,
            _xlpm.ReduceSET,
            _xlfn.LAMBDA(_xlpm.returnset,_xlpm.testsetobj,
              _xlfn.LET(
                _xlpm.objkeyset, jsonGetKeysAtLevel(_xlpm.testsetobj),
                _xlpm.key, INDEX(_xlpm.objkeyset,1,1),
                _xlpm.value, INDEX(_xlpm.objkeyset,1,2),
                _xlpm.keys, INDEX(_xlpm.returnset,,1),
                _xlpm.values, INDEX(_xlpm.returnset,,2),
                _xlpm.keypresent, SUM(--(_xlpm.keys=_xlpm.key))&gt;0,
                _xlpm.oldvalue, IF(_xlpm.keypresent, INDEX(_xlfn._xlws.FILTER(_xlpm.returnset, INDEX(_xlpm.returnset,,1)=_xlpm.key), 1, 2), NA()),
                _xlpm.test1, IF(ISNA(_xlpm.oldvalue),"NA", LEFT(TRIM(_xlpm.oldvalue),1)),
                _xlpm.test2, IF(ISNA(_xlpm.value),"NA", LEFT(TRIM(_xlpm.value),1)),
                _xlpm.isObjectPair, IFERROR(AND(_xlpm.test1="{", _xlpm.test2="{"), FALSE),
                _xlpm.isListPair, IFERROR(AND(_xlpm.test1="[", _xlpm.test2="["), FALSE),
                _xlpm.normmode, _xlpm.SUBMODE=0,
                _xlpm.repMode, _xlpm.SUBMODE=1,
                _xlpm.addMode, _xlpm.SUBMODE=2,
                _xlfn.SWITCH(TRUE,
                  AND(_xlpm.keypresent, NOT(_xlpm.repMode), _xlpm.isObjectPair),
                    arrayRepAdd(_xlpm.returnset, _xlpm.key, _xlpm.SELF(_xlpm.oldvalue, _xlpm.value, _xlpm.SUBMODE, _xlpm.DEPTH+1, _xlpm.SELF)),
                  AND(_xlpm.keypresent, NOT(_xlpm.repMode), _xlpm.isListPair),
                    arrayRepAdd(_xlpm.returnset, _xlpm.key, listToJson(_xlfn.VSTACK(listFromJson(_xlpm.oldvalue), listFromJson(_xlpm.value)))),
                  AND(_xlpm.addMode, _xlfn.XOR(_xlpm.test1="[", _xlpm.test2="[")),
                    IF(_xlpm.test1="[",arrayRepAdd(_xlpm.returnset, _xlpm.key, listToJson(_xlfn.VSTACK(listFromJson(_xlpm.oldvalue), _xlpm.value))),arrayRepAdd(_xlpm.returnset, _xlpm.key, listToJson(_xlfn.VSTACK(_xlpm.oldvalue, listFromJson(_xlpm.value))))),
                  AND(_xlpm.keypresent, _xlpm.addMode),
                    arrayRepAdd(_xlpm.returnset, _xlpm.key, IF(ISNUMBER(_xlpm.oldvalue), _xlpm.oldvalue + _xlpm.value, _xlpm.oldvalue &amp; _xlpm.value)),
                    arrayRepAdd(_xlpm.returnset, _xlpm.key, _xlpm.value)
                )
              )
            )
         ),
         jsonObject(_xlpm.RESULT)
       )
     )
   ),
   _xlpm.WALK(_xlpm.JSON1,_xlpm.JSON2,_xlpm.MODE,0,_xlpm.WALK)
 )
)(Q2,Q7,0)</f>
        <v>{"HD":["r",7,5,m],"RA":["a",1],"L4":"string","simple":55,"strongnum":22,"RL":{"all":{"sideA":"no","sideB":"no"},"some":55},"MB":35,"RS":59,"BG":5,"QL":2}</v>
      </c>
      <c r="P32" t="str">
        <v>HD</v>
      </c>
      <c r="Q32" t="str">
        <v>["r",7,5,m]</v>
      </c>
      <c r="T32" t="str">
        <v>all</v>
      </c>
    </row>
    <row r="33" spans="3:21" x14ac:dyDescent="0.25">
      <c r="C33" t="s">
        <v>36</v>
      </c>
      <c r="I33" t="str">
        <v>{"HD":["r",7,5,m]}</v>
      </c>
      <c r="J33" t="str">
        <v>{"L4":"string"}</v>
      </c>
      <c r="K33" t="str">
        <v>RA</v>
      </c>
      <c r="L33" t="str">
        <v>["a",1]</v>
      </c>
      <c r="P33" t="str">
        <v>RA</v>
      </c>
      <c r="Q33" t="str">
        <v>["a",1]</v>
      </c>
      <c r="T33" t="str">
        <v>sideA</v>
      </c>
      <c r="U33" s="5" t="e" cm="1">
        <f t="array" ref="U33" xml:space="preserve"> _xlfn.LAMBDA(_xlpm.json,_xlpm.path,_xlpm.val,
  _xlfn.LET(
    _xlpm.parts, _xlfn.TEXTSPLIT(_xlpm.path,,"."),
    _xlpm.head, INDEX(_xlpm.parts,1),
    _xlpm.hasTail, ROWS(_xlpm.parts)&gt;1,
    _xlpm.tail, IF(_xlpm.hasTail, _xlfn.TEXTJOIN(".",,_xlfn.DROP(_xlpm.parts,1)), ""),
    _xlpm.pairs, jsonGetKeysAtLevel(_xlpm.json),
    _xlpm.keyVals, IFERROR(INDEX(_xlpm.pairs,,2), ""),
    _xlpm.childJson, IF(_xlpm.hasTail, safeFilter(_xlpm.keyVals,IFERROR(INDEX(_xlpm.pairs,,1),""), "")),
    _xlpm.newChild,
      IF(AND(_xlpm.hasTail, LEFT(_xlpm.childJson,1)="{"),
         recurse(_xlpm.childJson, _xlpm.tail, _xlpm.val),
         _xlpm.val),
    _xlpm.newPairs, arrayRepAdd(_xlpm.pairs, _xlpm.head, IF(_xlpm.hasTail,_xlpm.newChild,_xlpm.val)),
    jsonObject(_xlpm.newPairs)
  )
)(Q4,"MB.all",44)</f>
        <v>#VALUE!</v>
      </c>
    </row>
    <row r="34" spans="3:21" x14ac:dyDescent="0.25">
      <c r="C34" t="s">
        <v>37</v>
      </c>
      <c r="I34" t="str">
        <v>{"RA":["a",1]}</v>
      </c>
      <c r="J34" t="str">
        <v>{"MB":{"all":{"sideA":"yes"}}}</v>
      </c>
      <c r="K34" t="str">
        <v>L4</v>
      </c>
      <c r="L34" t="str">
        <v>"string"</v>
      </c>
      <c r="P34" t="str">
        <v>L4</v>
      </c>
      <c r="Q34" t="str">
        <v>"string"</v>
      </c>
    </row>
    <row r="35" spans="3:21" x14ac:dyDescent="0.25">
      <c r="I35" t="str">
        <v>{"L4":"string"}</v>
      </c>
      <c r="J35" t="str">
        <v>{"RA":["a",1]}</v>
      </c>
      <c r="K35" t="str">
        <v>simple</v>
      </c>
      <c r="L35" t="str">
        <v>55</v>
      </c>
      <c r="P35" t="str">
        <v>simple</v>
      </c>
      <c r="Q35" t="str">
        <v>55</v>
      </c>
    </row>
    <row r="36" spans="3:21" x14ac:dyDescent="0.25">
      <c r="I36" t="str">
        <v>{"simple":55}</v>
      </c>
      <c r="J36" t="str">
        <v>{"RL":{"all":{"sideA":"no","sideB":"no"},"some":55}}</v>
      </c>
      <c r="K36" t="str">
        <v>strongnum</v>
      </c>
      <c r="L36" t="str">
        <v>22</v>
      </c>
      <c r="P36" t="str">
        <v>strongnum</v>
      </c>
      <c r="Q36" t="str">
        <v>22</v>
      </c>
    </row>
    <row r="37" spans="3:21" x14ac:dyDescent="0.25">
      <c r="I37" t="str">
        <v>{"strongnum":22}</v>
      </c>
      <c r="J37" t="str">
        <v>{"simple":55}</v>
      </c>
      <c r="K37" t="str">
        <v>RL</v>
      </c>
      <c r="L37" t="str">
        <v>{"all":{"sideA":"no","sideB":"no"},"some":55}</v>
      </c>
      <c r="P37" t="str">
        <v>RL</v>
      </c>
      <c r="Q37" t="str">
        <v>{"all":{"sideA":"no","sideB":"no"},"some":55}</v>
      </c>
      <c r="T37" t="str" cm="1">
        <f t="array" ref="T37:T43">INDEX(jsonGetKeysAtLevel(Q2),,2)</f>
        <v>{"all":{"sideA":"yes"}}</v>
      </c>
      <c r="U37" cm="1">
        <f t="array" ref="U37" xml:space="preserve"> _xlfn.LAMBDA(_xlpm.n,
    _xlfn.LET(
      _xlpm.trufact, _xlfn.LAMBDA(_xlpm.x,_xlpm.self,
        IF(_xlpm.x&lt;=1,1, _xlpm.x*_xlpm.self(_xlpm.x-1,_xlpm.self))
      ),
      _xlpm.trufact(_xlpm.n,_xlpm.trufact)
    )
)(5)</f>
        <v>120</v>
      </c>
    </row>
    <row r="38" spans="3:21" x14ac:dyDescent="0.25">
      <c r="I38" t="str">
        <v>{"RL":{"all":{"sideA":"no","sideB":"no"},"some":55}}</v>
      </c>
      <c r="J38" t="str">
        <v>{"strongnum":22}</v>
      </c>
      <c r="K38" t="str">
        <v>BG</v>
      </c>
      <c r="L38" t="str">
        <v>5</v>
      </c>
      <c r="T38" t="str">
        <v>["r",7,5,m]</v>
      </c>
    </row>
    <row r="39" spans="3:21" x14ac:dyDescent="0.25">
      <c r="K39" t="str">
        <v>MB</v>
      </c>
      <c r="L39" t="str">
        <v>120</v>
      </c>
      <c r="T39" t="str">
        <v>["a",1]</v>
      </c>
    </row>
    <row r="40" spans="3:21" x14ac:dyDescent="0.25">
      <c r="K40" t="str">
        <v>QL</v>
      </c>
      <c r="L40" t="str">
        <v>2</v>
      </c>
      <c r="T40" t="str">
        <v>"string"</v>
      </c>
    </row>
    <row r="41" spans="3:21" x14ac:dyDescent="0.25">
      <c r="K41" t="str">
        <v>RS</v>
      </c>
      <c r="L41" t="str">
        <v>59</v>
      </c>
      <c r="T41" t="str">
        <v>55</v>
      </c>
    </row>
    <row r="42" spans="3:21" x14ac:dyDescent="0.25">
      <c r="T42" t="str">
        <v>22</v>
      </c>
    </row>
    <row r="43" spans="3:21" x14ac:dyDescent="0.25">
      <c r="T43" t="str">
        <v>{"all":{"sideA":"no","sideB":"no"},"some":55}</v>
      </c>
    </row>
    <row r="48" spans="3:21" x14ac:dyDescent="0.25">
      <c r="R4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Rusoff</dc:creator>
  <cp:lastModifiedBy>bradley rusoff</cp:lastModifiedBy>
  <dcterms:created xsi:type="dcterms:W3CDTF">2025-06-16T19:54:52Z</dcterms:created>
  <dcterms:modified xsi:type="dcterms:W3CDTF">2025-10-02T12:52:56Z</dcterms:modified>
</cp:coreProperties>
</file>